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2F86801-8C45-4574-801B-B331B11E0A1E}" xr6:coauthVersionLast="36" xr6:coauthVersionMax="36" xr10:uidLastSave="{00000000-0000-0000-0000-000000000000}"/>
  <bookViews>
    <workbookView xWindow="0" yWindow="0" windowWidth="15200" windowHeight="7670" xr2:uid="{00000000-000D-0000-FFFF-FFFF00000000}"/>
  </bookViews>
  <sheets>
    <sheet name="Trimestriel" sheetId="1" r:id="rId1"/>
    <sheet name="Annotations" sheetId="2" r:id="rId2"/>
  </sheets>
  <calcPr calcId="191029"/>
</workbook>
</file>

<file path=xl/calcChain.xml><?xml version="1.0" encoding="utf-8"?>
<calcChain xmlns="http://schemas.openxmlformats.org/spreadsheetml/2006/main">
  <c r="I2" i="2" l="1"/>
  <c r="H2" i="2"/>
  <c r="G2" i="2"/>
  <c r="F2" i="2"/>
  <c r="D2" i="2"/>
  <c r="C2" i="2"/>
  <c r="B2" i="2"/>
  <c r="A2" i="2"/>
</calcChain>
</file>

<file path=xl/sharedStrings.xml><?xml version="1.0" encoding="utf-8"?>
<sst xmlns="http://schemas.openxmlformats.org/spreadsheetml/2006/main" count="93" uniqueCount="86">
  <si>
    <t>Trimestre</t>
  </si>
  <si>
    <t>Urbain</t>
  </si>
  <si>
    <t>Rural</t>
  </si>
  <si>
    <t>Ensemble</t>
  </si>
  <si>
    <t>Années</t>
  </si>
  <si>
    <t>2025T4</t>
  </si>
  <si>
    <t>2025T3</t>
  </si>
  <si>
    <t>2025T2</t>
  </si>
  <si>
    <t>2025T1</t>
  </si>
  <si>
    <t>2024T4</t>
  </si>
  <si>
    <t>2024T3</t>
  </si>
  <si>
    <t>2024T2</t>
  </si>
  <si>
    <t>2024T1</t>
  </si>
  <si>
    <t>2023T4</t>
  </si>
  <si>
    <t>2023T3</t>
  </si>
  <si>
    <t>2023T2</t>
  </si>
  <si>
    <t>2023T1</t>
  </si>
  <si>
    <t>2022T4</t>
  </si>
  <si>
    <t>2022T3</t>
  </si>
  <si>
    <t>2022T2</t>
  </si>
  <si>
    <t>2022T1</t>
  </si>
  <si>
    <t>2021T4</t>
  </si>
  <si>
    <t>2021T3</t>
  </si>
  <si>
    <t>2021T2</t>
  </si>
  <si>
    <t>2021T1</t>
  </si>
  <si>
    <t>2020T4</t>
  </si>
  <si>
    <t>2020T3</t>
  </si>
  <si>
    <t>2020T2</t>
  </si>
  <si>
    <t>2020T1</t>
  </si>
  <si>
    <t>2019T4</t>
  </si>
  <si>
    <t>2019T3</t>
  </si>
  <si>
    <t>2019T2</t>
  </si>
  <si>
    <t>2019T1</t>
  </si>
  <si>
    <t>2018T4</t>
  </si>
  <si>
    <t>2018T3</t>
  </si>
  <si>
    <t>2018T2</t>
  </si>
  <si>
    <t>2018T1</t>
  </si>
  <si>
    <t>2017T4</t>
  </si>
  <si>
    <t>2017T3</t>
  </si>
  <si>
    <t>2017T2</t>
  </si>
  <si>
    <t>2017T1</t>
  </si>
  <si>
    <t>2016T4</t>
  </si>
  <si>
    <t>2016T3</t>
  </si>
  <si>
    <t>2016T2</t>
  </si>
  <si>
    <t>2016T1</t>
  </si>
  <si>
    <t>2015T4</t>
  </si>
  <si>
    <t>2015T3</t>
  </si>
  <si>
    <t>2015T2</t>
  </si>
  <si>
    <t>2015T1</t>
  </si>
  <si>
    <t>2014T4</t>
  </si>
  <si>
    <t>2014T3</t>
  </si>
  <si>
    <t>2014T2</t>
  </si>
  <si>
    <t>2014T1</t>
  </si>
  <si>
    <t>2013T4</t>
  </si>
  <si>
    <t>2013T3</t>
  </si>
  <si>
    <t>2013T2</t>
  </si>
  <si>
    <t>2013T1</t>
  </si>
  <si>
    <t>2012T4</t>
  </si>
  <si>
    <t>2012T3</t>
  </si>
  <si>
    <t>2012T2</t>
  </si>
  <si>
    <t>2012T1</t>
  </si>
  <si>
    <t>2011T4 </t>
  </si>
  <si>
    <t>2011T3 </t>
  </si>
  <si>
    <t>2011T2 </t>
  </si>
  <si>
    <t>2011T1 </t>
  </si>
  <si>
    <t>2010T4 </t>
  </si>
  <si>
    <t>2010T3 </t>
  </si>
  <si>
    <t>2010T2 </t>
  </si>
  <si>
    <t>2010T1 </t>
  </si>
  <si>
    <t>2009T4 </t>
  </si>
  <si>
    <t>2009T3 </t>
  </si>
  <si>
    <t>2009T2 </t>
  </si>
  <si>
    <t>2009T1 </t>
  </si>
  <si>
    <t>2008T4 </t>
  </si>
  <si>
    <t>2008T3 </t>
  </si>
  <si>
    <t>2008T2 </t>
  </si>
  <si>
    <t>2008T1 </t>
  </si>
  <si>
    <t>2007T4 </t>
  </si>
  <si>
    <t>2007T3 </t>
  </si>
  <si>
    <t>2007T2 </t>
  </si>
  <si>
    <t>2007T1 </t>
  </si>
  <si>
    <t>2006T4 </t>
  </si>
  <si>
    <t>2006T3 </t>
  </si>
  <si>
    <t>2006T2 </t>
  </si>
  <si>
    <t>2006T1 </t>
  </si>
  <si>
    <t>Source : Enquête nationale sur l'emploi, Haut Commissariat au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</si>
</sst>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"/>
    <numFmt numFmtId="165" formatCode="#,##0.0"/>
    <numFmt numFmtId="166" formatCode="0.0"/>
  </numFmts>
  <fonts count="9" x14ac:knownFonts="1">
    <font>
      <sz val="10"/>
      <color rgb="FF000000"/>
      <name val="Arial"/>
    </font>
    <font>
      <b/>
      <sz val="8"/>
      <color rgb="FFD2691E"/>
      <name val="Tahoma"/>
    </font>
    <font>
      <sz val="11"/>
      <color rgb="FF000000"/>
      <name val="Calibri"/>
    </font>
    <font>
      <b/>
      <sz val="8"/>
      <color rgb="FF808080"/>
      <name val="Tahoma"/>
    </font>
    <font>
      <sz val="8"/>
      <color rgb="FF000000"/>
      <name val="Tahoma"/>
    </font>
    <font>
      <sz val="10"/>
      <name val="Arial"/>
    </font>
    <font>
      <sz val="8"/>
      <name val="Tahoma"/>
    </font>
    <font>
      <b/>
      <sz val="8"/>
      <color rgb="FF000000"/>
      <name val="Tahoma"/>
    </font>
    <font>
      <b/>
      <sz val="8"/>
      <color rgb="FF00000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FF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/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5" fillId="0" borderId="0" xfId="0" applyNumberFormat="1" applyFont="1"/>
    <xf numFmtId="0" fontId="1" fillId="0" borderId="0" xfId="0" applyFont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3" xfId="0" applyNumberFormat="1" applyFont="1" applyFill="1" applyBorder="1" applyAlignment="1">
      <alignment horizontal="center" wrapText="1"/>
    </xf>
    <xf numFmtId="164" fontId="4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164" fontId="4" fillId="0" borderId="4" xfId="0" applyNumberFormat="1" applyFont="1" applyBorder="1" applyAlignment="1">
      <alignment horizontal="center"/>
    </xf>
    <xf numFmtId="49" fontId="3" fillId="2" borderId="5" xfId="0" applyNumberFormat="1" applyFont="1" applyFill="1" applyBorder="1" applyAlignment="1">
      <alignment horizontal="center" wrapText="1"/>
    </xf>
    <xf numFmtId="49" fontId="3" fillId="2" borderId="5" xfId="0" applyNumberFormat="1" applyFont="1" applyFill="1" applyBorder="1" applyAlignment="1">
      <alignment horizontal="center" wrapText="1"/>
    </xf>
    <xf numFmtId="49" fontId="3" fillId="2" borderId="3" xfId="0" applyNumberFormat="1" applyFont="1" applyFill="1" applyBorder="1" applyAlignment="1">
      <alignment horizontal="center" wrapText="1"/>
    </xf>
    <xf numFmtId="164" fontId="4" fillId="0" borderId="4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165" fontId="6" fillId="0" borderId="6" xfId="0" applyNumberFormat="1" applyFont="1" applyBorder="1" applyAlignment="1">
      <alignment horizontal="center" wrapText="1"/>
    </xf>
    <xf numFmtId="166" fontId="4" fillId="0" borderId="6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0" fontId="5" fillId="0" borderId="8" xfId="0" applyFont="1" applyBorder="1"/>
    <xf numFmtId="0" fontId="5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Trimestriel!$C$21</c:f>
              <c:strCache>
                <c:ptCount val="1"/>
                <c:pt idx="0">
                  <c:v>Urbain</c:v>
                </c:pt>
              </c:strCache>
            </c:strRef>
          </c:tx>
          <c:spPr>
            <a:ln w="19050" cmpd="sng">
              <a:solidFill>
                <a:srgbClr val="4285F4"/>
              </a:solidFill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0-813B-4C89-9481-929EFFBD6EF1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1-813B-4C89-9481-929EFFBD6EF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2-813B-4C89-9481-929EFFBD6EF1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3-813B-4C89-9481-929EFFBD6EF1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4-813B-4C89-9481-929EFFBD6EF1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5-813B-4C89-9481-929EFFBD6EF1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6-813B-4C89-9481-929EFFBD6EF1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7-813B-4C89-9481-929EFFBD6EF1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8-813B-4C89-9481-929EFFBD6EF1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9-813B-4C89-9481-929EFFBD6EF1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A-813B-4C89-9481-929EFFBD6EF1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B-813B-4C89-9481-929EFFBD6EF1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0C-813B-4C89-9481-929EFFBD6EF1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0D-813B-4C89-9481-929EFFBD6EF1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0E-813B-4C89-9481-929EFFBD6EF1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0F-813B-4C89-9481-929EFFBD6EF1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10-813B-4C89-9481-929EFFBD6EF1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11-813B-4C89-9481-929EFFBD6EF1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12-813B-4C89-9481-929EFFBD6EF1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13-813B-4C89-9481-929EFFBD6EF1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14-813B-4C89-9481-929EFFBD6EF1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5-813B-4C89-9481-929EFFBD6EF1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16-813B-4C89-9481-929EFFBD6EF1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17-813B-4C89-9481-929EFFBD6EF1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18-813B-4C89-9481-929EFFBD6EF1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19-813B-4C89-9481-929EFFBD6EF1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1A-813B-4C89-9481-929EFFBD6EF1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1B-813B-4C89-9481-929EFFBD6EF1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1C-813B-4C89-9481-929EFFBD6EF1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1D-813B-4C89-9481-929EFFBD6EF1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1E-813B-4C89-9481-929EFFBD6EF1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1F-813B-4C89-9481-929EFFBD6EF1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20-813B-4C89-9481-929EFFBD6EF1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21-813B-4C89-9481-929EFFBD6EF1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22-813B-4C89-9481-929EFFBD6EF1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23-813B-4C89-9481-929EFFBD6EF1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24-813B-4C89-9481-929EFFBD6EF1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25-813B-4C89-9481-929EFFBD6EF1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26-813B-4C89-9481-929EFFBD6EF1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27-813B-4C89-9481-929EFFBD6EF1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28-813B-4C89-9481-929EFFBD6EF1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29-813B-4C89-9481-929EFFBD6EF1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2A-813B-4C89-9481-929EFFBD6EF1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2B-813B-4C89-9481-929EFFBD6EF1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2C-813B-4C89-9481-929EFFBD6EF1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2D-813B-4C89-9481-929EFFBD6EF1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2E-813B-4C89-9481-929EFFBD6EF1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2F-813B-4C89-9481-929EFFBD6EF1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30-813B-4C89-9481-929EFFBD6EF1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31-813B-4C89-9481-929EFFBD6EF1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032-813B-4C89-9481-929EFFBD6EF1}"/>
              </c:ext>
            </c:extLst>
          </c:dPt>
          <c:dPt>
            <c:idx val="53"/>
            <c:bubble3D val="0"/>
            <c:extLst>
              <c:ext xmlns:c16="http://schemas.microsoft.com/office/drawing/2014/chart" uri="{C3380CC4-5D6E-409C-BE32-E72D297353CC}">
                <c16:uniqueId val="{00000033-813B-4C89-9481-929EFFBD6EF1}"/>
              </c:ext>
            </c:extLst>
          </c:dPt>
          <c:dPt>
            <c:idx val="54"/>
            <c:bubble3D val="0"/>
            <c:extLst>
              <c:ext xmlns:c16="http://schemas.microsoft.com/office/drawing/2014/chart" uri="{C3380CC4-5D6E-409C-BE32-E72D297353CC}">
                <c16:uniqueId val="{00000034-813B-4C89-9481-929EFFBD6EF1}"/>
              </c:ext>
            </c:extLst>
          </c:dPt>
          <c:dPt>
            <c:idx val="55"/>
            <c:bubble3D val="0"/>
            <c:extLst>
              <c:ext xmlns:c16="http://schemas.microsoft.com/office/drawing/2014/chart" uri="{C3380CC4-5D6E-409C-BE32-E72D297353CC}">
                <c16:uniqueId val="{00000035-813B-4C89-9481-929EFFBD6EF1}"/>
              </c:ext>
            </c:extLst>
          </c:dPt>
          <c:dPt>
            <c:idx val="56"/>
            <c:bubble3D val="0"/>
            <c:extLst>
              <c:ext xmlns:c16="http://schemas.microsoft.com/office/drawing/2014/chart" uri="{C3380CC4-5D6E-409C-BE32-E72D297353CC}">
                <c16:uniqueId val="{00000036-813B-4C89-9481-929EFFBD6EF1}"/>
              </c:ext>
            </c:extLst>
          </c:dPt>
          <c:dPt>
            <c:idx val="57"/>
            <c:bubble3D val="0"/>
            <c:extLst>
              <c:ext xmlns:c16="http://schemas.microsoft.com/office/drawing/2014/chart" uri="{C3380CC4-5D6E-409C-BE32-E72D297353CC}">
                <c16:uniqueId val="{00000037-813B-4C89-9481-929EFFBD6EF1}"/>
              </c:ext>
            </c:extLst>
          </c:dPt>
          <c:dPt>
            <c:idx val="58"/>
            <c:bubble3D val="0"/>
            <c:extLst>
              <c:ext xmlns:c16="http://schemas.microsoft.com/office/drawing/2014/chart" uri="{C3380CC4-5D6E-409C-BE32-E72D297353CC}">
                <c16:uniqueId val="{00000038-813B-4C89-9481-929EFFBD6EF1}"/>
              </c:ext>
            </c:extLst>
          </c:dPt>
          <c:dPt>
            <c:idx val="59"/>
            <c:bubble3D val="0"/>
            <c:extLst>
              <c:ext xmlns:c16="http://schemas.microsoft.com/office/drawing/2014/chart" uri="{C3380CC4-5D6E-409C-BE32-E72D297353CC}">
                <c16:uniqueId val="{00000039-813B-4C89-9481-929EFFBD6EF1}"/>
              </c:ext>
            </c:extLst>
          </c:dPt>
          <c:dPt>
            <c:idx val="60"/>
            <c:bubble3D val="0"/>
            <c:extLst>
              <c:ext xmlns:c16="http://schemas.microsoft.com/office/drawing/2014/chart" uri="{C3380CC4-5D6E-409C-BE32-E72D297353CC}">
                <c16:uniqueId val="{0000003A-813B-4C89-9481-929EFFBD6EF1}"/>
              </c:ext>
            </c:extLst>
          </c:dPt>
          <c:dPt>
            <c:idx val="61"/>
            <c:bubble3D val="0"/>
            <c:extLst>
              <c:ext xmlns:c16="http://schemas.microsoft.com/office/drawing/2014/chart" uri="{C3380CC4-5D6E-409C-BE32-E72D297353CC}">
                <c16:uniqueId val="{0000003B-813B-4C89-9481-929EFFBD6EF1}"/>
              </c:ext>
            </c:extLst>
          </c:dPt>
          <c:dPt>
            <c:idx val="62"/>
            <c:bubble3D val="0"/>
            <c:extLst>
              <c:ext xmlns:c16="http://schemas.microsoft.com/office/drawing/2014/chart" uri="{C3380CC4-5D6E-409C-BE32-E72D297353CC}">
                <c16:uniqueId val="{0000003C-813B-4C89-9481-929EFFBD6EF1}"/>
              </c:ext>
            </c:extLst>
          </c:dPt>
          <c:dPt>
            <c:idx val="63"/>
            <c:bubble3D val="0"/>
            <c:extLst>
              <c:ext xmlns:c16="http://schemas.microsoft.com/office/drawing/2014/chart" uri="{C3380CC4-5D6E-409C-BE32-E72D297353CC}">
                <c16:uniqueId val="{0000003D-813B-4C89-9481-929EFFBD6EF1}"/>
              </c:ext>
            </c:extLst>
          </c:dPt>
          <c:cat>
            <c:strRef>
              <c:f>Trimestriel!$B$22:$B$101</c:f>
              <c:strCache>
                <c:ptCount val="80"/>
                <c:pt idx="0">
                  <c:v>2025T4</c:v>
                </c:pt>
                <c:pt idx="1">
                  <c:v>2025T3</c:v>
                </c:pt>
                <c:pt idx="2">
                  <c:v>2025T2</c:v>
                </c:pt>
                <c:pt idx="3">
                  <c:v>2025T1</c:v>
                </c:pt>
                <c:pt idx="4">
                  <c:v>2024T4</c:v>
                </c:pt>
                <c:pt idx="5">
                  <c:v>2024T3</c:v>
                </c:pt>
                <c:pt idx="6">
                  <c:v>2024T2</c:v>
                </c:pt>
                <c:pt idx="7">
                  <c:v>2024T1</c:v>
                </c:pt>
                <c:pt idx="8">
                  <c:v>2023T4</c:v>
                </c:pt>
                <c:pt idx="9">
                  <c:v>2023T3</c:v>
                </c:pt>
                <c:pt idx="10">
                  <c:v>2023T2</c:v>
                </c:pt>
                <c:pt idx="11">
                  <c:v>2023T1</c:v>
                </c:pt>
                <c:pt idx="12">
                  <c:v>2022T4</c:v>
                </c:pt>
                <c:pt idx="13">
                  <c:v>2022T3</c:v>
                </c:pt>
                <c:pt idx="14">
                  <c:v>2022T2</c:v>
                </c:pt>
                <c:pt idx="15">
                  <c:v>2022T1</c:v>
                </c:pt>
                <c:pt idx="16">
                  <c:v>2021T4</c:v>
                </c:pt>
                <c:pt idx="17">
                  <c:v>2021T3</c:v>
                </c:pt>
                <c:pt idx="18">
                  <c:v>2021T2</c:v>
                </c:pt>
                <c:pt idx="19">
                  <c:v>2021T1</c:v>
                </c:pt>
                <c:pt idx="20">
                  <c:v>2020T4</c:v>
                </c:pt>
                <c:pt idx="21">
                  <c:v>2020T3</c:v>
                </c:pt>
                <c:pt idx="22">
                  <c:v>2020T2</c:v>
                </c:pt>
                <c:pt idx="23">
                  <c:v>2020T1</c:v>
                </c:pt>
                <c:pt idx="24">
                  <c:v>2019T4</c:v>
                </c:pt>
                <c:pt idx="25">
                  <c:v>2019T3</c:v>
                </c:pt>
                <c:pt idx="26">
                  <c:v>2019T2</c:v>
                </c:pt>
                <c:pt idx="27">
                  <c:v>2019T1</c:v>
                </c:pt>
                <c:pt idx="28">
                  <c:v>2018T4</c:v>
                </c:pt>
                <c:pt idx="29">
                  <c:v>2018T3</c:v>
                </c:pt>
                <c:pt idx="30">
                  <c:v>2018T2</c:v>
                </c:pt>
                <c:pt idx="31">
                  <c:v>2018T1</c:v>
                </c:pt>
                <c:pt idx="32">
                  <c:v>2017T4</c:v>
                </c:pt>
                <c:pt idx="33">
                  <c:v>2017T3</c:v>
                </c:pt>
                <c:pt idx="34">
                  <c:v>2017T2</c:v>
                </c:pt>
                <c:pt idx="35">
                  <c:v>2017T1</c:v>
                </c:pt>
                <c:pt idx="36">
                  <c:v>2016T4</c:v>
                </c:pt>
                <c:pt idx="37">
                  <c:v>2016T3</c:v>
                </c:pt>
                <c:pt idx="38">
                  <c:v>2016T2</c:v>
                </c:pt>
                <c:pt idx="39">
                  <c:v>2016T1</c:v>
                </c:pt>
                <c:pt idx="40">
                  <c:v>2015T4</c:v>
                </c:pt>
                <c:pt idx="41">
                  <c:v>2015T3</c:v>
                </c:pt>
                <c:pt idx="42">
                  <c:v>2015T2</c:v>
                </c:pt>
                <c:pt idx="43">
                  <c:v>2015T1</c:v>
                </c:pt>
                <c:pt idx="44">
                  <c:v>2014T4</c:v>
                </c:pt>
                <c:pt idx="45">
                  <c:v>2014T3</c:v>
                </c:pt>
                <c:pt idx="46">
                  <c:v>2014T2</c:v>
                </c:pt>
                <c:pt idx="47">
                  <c:v>2014T1</c:v>
                </c:pt>
                <c:pt idx="48">
                  <c:v>2013T4</c:v>
                </c:pt>
                <c:pt idx="49">
                  <c:v>2013T3</c:v>
                </c:pt>
                <c:pt idx="50">
                  <c:v>2013T2</c:v>
                </c:pt>
                <c:pt idx="51">
                  <c:v>2013T1</c:v>
                </c:pt>
                <c:pt idx="52">
                  <c:v>2012T4</c:v>
                </c:pt>
                <c:pt idx="53">
                  <c:v>2012T3</c:v>
                </c:pt>
                <c:pt idx="54">
                  <c:v>2012T2</c:v>
                </c:pt>
                <c:pt idx="55">
                  <c:v>2012T1</c:v>
                </c:pt>
                <c:pt idx="56">
                  <c:v>2011T4 </c:v>
                </c:pt>
                <c:pt idx="57">
                  <c:v>2011T3 </c:v>
                </c:pt>
                <c:pt idx="58">
                  <c:v>2011T2 </c:v>
                </c:pt>
                <c:pt idx="59">
                  <c:v>2011T1 </c:v>
                </c:pt>
                <c:pt idx="60">
                  <c:v>2010T4 </c:v>
                </c:pt>
                <c:pt idx="61">
                  <c:v>2010T3 </c:v>
                </c:pt>
                <c:pt idx="62">
                  <c:v>2010T2 </c:v>
                </c:pt>
                <c:pt idx="63">
                  <c:v>2010T1 </c:v>
                </c:pt>
                <c:pt idx="64">
                  <c:v>2009T4 </c:v>
                </c:pt>
                <c:pt idx="65">
                  <c:v>2009T3 </c:v>
                </c:pt>
                <c:pt idx="66">
                  <c:v>2009T2 </c:v>
                </c:pt>
                <c:pt idx="67">
                  <c:v>2009T1 </c:v>
                </c:pt>
                <c:pt idx="68">
                  <c:v>2008T4 </c:v>
                </c:pt>
                <c:pt idx="69">
                  <c:v>2008T3 </c:v>
                </c:pt>
                <c:pt idx="70">
                  <c:v>2008T2 </c:v>
                </c:pt>
                <c:pt idx="71">
                  <c:v>2008T1 </c:v>
                </c:pt>
                <c:pt idx="72">
                  <c:v>2007T4 </c:v>
                </c:pt>
                <c:pt idx="73">
                  <c:v>2007T3 </c:v>
                </c:pt>
                <c:pt idx="74">
                  <c:v>2007T2 </c:v>
                </c:pt>
                <c:pt idx="75">
                  <c:v>2007T1 </c:v>
                </c:pt>
                <c:pt idx="76">
                  <c:v>2006T4 </c:v>
                </c:pt>
                <c:pt idx="77">
                  <c:v>2006T3 </c:v>
                </c:pt>
                <c:pt idx="78">
                  <c:v>2006T2 </c:v>
                </c:pt>
                <c:pt idx="79">
                  <c:v>2006T1 </c:v>
                </c:pt>
              </c:strCache>
            </c:strRef>
          </c:cat>
          <c:val>
            <c:numRef>
              <c:f>Trimestriel!$C$22:$C$101</c:f>
              <c:numCache>
                <c:formatCode>###0.0</c:formatCode>
                <c:ptCount val="80"/>
                <c:pt idx="0">
                  <c:v>16.5</c:v>
                </c:pt>
                <c:pt idx="1">
                  <c:v>16.3</c:v>
                </c:pt>
                <c:pt idx="2">
                  <c:v>16.399999999999999</c:v>
                </c:pt>
                <c:pt idx="3">
                  <c:v>16.600000000000001</c:v>
                </c:pt>
                <c:pt idx="4">
                  <c:v>16.5</c:v>
                </c:pt>
                <c:pt idx="5">
                  <c:v>17</c:v>
                </c:pt>
                <c:pt idx="6">
                  <c:v>16.7</c:v>
                </c:pt>
                <c:pt idx="7">
                  <c:v>17.600000000000001</c:v>
                </c:pt>
                <c:pt idx="8">
                  <c:v>16.899999999999999</c:v>
                </c:pt>
                <c:pt idx="9">
                  <c:v>17</c:v>
                </c:pt>
                <c:pt idx="10">
                  <c:v>16.3</c:v>
                </c:pt>
                <c:pt idx="11">
                  <c:v>17.100000000000001</c:v>
                </c:pt>
                <c:pt idx="12">
                  <c:v>16.600000000000001</c:v>
                </c:pt>
                <c:pt idx="13">
                  <c:v>15</c:v>
                </c:pt>
                <c:pt idx="14">
                  <c:v>15.5</c:v>
                </c:pt>
                <c:pt idx="15">
                  <c:v>16.3</c:v>
                </c:pt>
                <c:pt idx="16">
                  <c:v>16.5</c:v>
                </c:pt>
                <c:pt idx="17">
                  <c:v>16</c:v>
                </c:pt>
                <c:pt idx="18">
                  <c:v>18.2</c:v>
                </c:pt>
                <c:pt idx="19">
                  <c:v>17.100000000000001</c:v>
                </c:pt>
                <c:pt idx="20">
                  <c:v>16.3</c:v>
                </c:pt>
                <c:pt idx="21">
                  <c:v>16.5</c:v>
                </c:pt>
                <c:pt idx="22">
                  <c:v>15.6</c:v>
                </c:pt>
                <c:pt idx="23">
                  <c:v>15.1</c:v>
                </c:pt>
                <c:pt idx="24">
                  <c:v>14.3</c:v>
                </c:pt>
                <c:pt idx="25">
                  <c:v>12.7</c:v>
                </c:pt>
                <c:pt idx="26">
                  <c:v>11.7</c:v>
                </c:pt>
                <c:pt idx="27">
                  <c:v>13.3</c:v>
                </c:pt>
                <c:pt idx="28">
                  <c:v>13.4</c:v>
                </c:pt>
                <c:pt idx="29">
                  <c:v>13.1</c:v>
                </c:pt>
                <c:pt idx="30">
                  <c:v>13.6</c:v>
                </c:pt>
                <c:pt idx="31">
                  <c:v>15.6</c:v>
                </c:pt>
                <c:pt idx="32">
                  <c:v>15.1</c:v>
                </c:pt>
                <c:pt idx="33">
                  <c:v>14.9</c:v>
                </c:pt>
                <c:pt idx="34">
                  <c:v>14</c:v>
                </c:pt>
                <c:pt idx="35">
                  <c:v>15.7</c:v>
                </c:pt>
                <c:pt idx="36">
                  <c:v>13.3</c:v>
                </c:pt>
                <c:pt idx="37">
                  <c:v>14.3</c:v>
                </c:pt>
                <c:pt idx="38">
                  <c:v>12.8</c:v>
                </c:pt>
                <c:pt idx="39">
                  <c:v>14.6</c:v>
                </c:pt>
                <c:pt idx="40">
                  <c:v>14.1</c:v>
                </c:pt>
                <c:pt idx="41">
                  <c:v>15.1</c:v>
                </c:pt>
                <c:pt idx="42">
                  <c:v>13.359197606753161</c:v>
                </c:pt>
                <c:pt idx="43">
                  <c:v>14.345583274410631</c:v>
                </c:pt>
                <c:pt idx="44">
                  <c:v>14.792285282713777</c:v>
                </c:pt>
                <c:pt idx="45">
                  <c:v>14.501816179115691</c:v>
                </c:pt>
                <c:pt idx="46">
                  <c:v>14.23959296586329</c:v>
                </c:pt>
                <c:pt idx="47" formatCode="#\ ##0.0">
                  <c:v>14.631430698296809</c:v>
                </c:pt>
                <c:pt idx="48" formatCode="#\ ##0.0">
                  <c:v>14.419753094356579</c:v>
                </c:pt>
                <c:pt idx="49" formatCode="#\ ##0.0">
                  <c:v>14.021162784813757</c:v>
                </c:pt>
                <c:pt idx="50" formatCode="#\ ##0.0">
                  <c:v>13.762495196278937</c:v>
                </c:pt>
                <c:pt idx="51" formatCode="#\ ##0.0">
                  <c:v>13.702410680109676</c:v>
                </c:pt>
                <c:pt idx="52" formatCode="#\ ##0.0">
                  <c:v>13.159984638730533</c:v>
                </c:pt>
                <c:pt idx="53" formatCode="#\ ##0.0">
                  <c:v>14.028172592965575</c:v>
                </c:pt>
                <c:pt idx="54" formatCode="0.0">
                  <c:v>12.317658473133575</c:v>
                </c:pt>
                <c:pt idx="55" formatCode="0.0">
                  <c:v>14.365762356883092</c:v>
                </c:pt>
                <c:pt idx="56" formatCode="0.0">
                  <c:v>13.035197107190687</c:v>
                </c:pt>
                <c:pt idx="57" formatCode="0.0">
                  <c:v>13.522448746936217</c:v>
                </c:pt>
                <c:pt idx="58" formatCode="0.0">
                  <c:v>13.476589887949441</c:v>
                </c:pt>
                <c:pt idx="59" formatCode="0.0">
                  <c:v>13.273069367028105</c:v>
                </c:pt>
                <c:pt idx="60" formatCode="0.0">
                  <c:v>13.747341122678277</c:v>
                </c:pt>
                <c:pt idx="61" formatCode="0.0">
                  <c:v>13.805465404583128</c:v>
                </c:pt>
                <c:pt idx="62" formatCode="0.0">
                  <c:v>12.658333893220062</c:v>
                </c:pt>
                <c:pt idx="63" formatCode="0.0">
                  <c:v>14.701562507751355</c:v>
                </c:pt>
                <c:pt idx="64" formatCode="0.0">
                  <c:v>13.808805029323942</c:v>
                </c:pt>
                <c:pt idx="65" formatCode="0.0">
                  <c:v>14.765642637876597</c:v>
                </c:pt>
                <c:pt idx="66" formatCode="0.0">
                  <c:v>12.567963280139022</c:v>
                </c:pt>
                <c:pt idx="67" formatCode="0.0">
                  <c:v>14.120028142786726</c:v>
                </c:pt>
                <c:pt idx="68" formatCode="0.0">
                  <c:v>14.638557707125543</c:v>
                </c:pt>
                <c:pt idx="69" formatCode="0.0">
                  <c:v>15.530157508927029</c:v>
                </c:pt>
                <c:pt idx="70" formatCode="0.0">
                  <c:v>13.981297884532637</c:v>
                </c:pt>
                <c:pt idx="71" formatCode="0.0">
                  <c:v>14.648261687783679</c:v>
                </c:pt>
                <c:pt idx="72" formatCode="0.0">
                  <c:v>14.83957553025982</c:v>
                </c:pt>
                <c:pt idx="73" formatCode="0.0">
                  <c:v>15.91001685305787</c:v>
                </c:pt>
                <c:pt idx="74" formatCode="0.0">
                  <c:v>15.000829058205408</c:v>
                </c:pt>
                <c:pt idx="75" formatCode="0.0">
                  <c:v>15.845301919003129</c:v>
                </c:pt>
                <c:pt idx="76" formatCode="0.0">
                  <c:v>17.173959512078934</c:v>
                </c:pt>
                <c:pt idx="77" formatCode="0.0">
                  <c:v>16.043810680105803</c:v>
                </c:pt>
                <c:pt idx="78" formatCode="0.0">
                  <c:v>13.245954348358152</c:v>
                </c:pt>
                <c:pt idx="79" formatCode="0.0">
                  <c:v>15.281147072165355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813B-4C89-9481-929EFFBD6EF1}"/>
            </c:ext>
          </c:extLst>
        </c:ser>
        <c:ser>
          <c:idx val="1"/>
          <c:order val="1"/>
          <c:tx>
            <c:strRef>
              <c:f>Annotations!$B$1</c:f>
              <c:strCache>
                <c:ptCount val="1"/>
                <c:pt idx="0">
                  <c:v>Urbain</c:v>
                </c:pt>
              </c:strCache>
            </c:strRef>
          </c:tx>
          <c:spPr>
            <a:ln w="19050" cmpd="sng">
              <a:solidFill>
                <a:srgbClr val="DB4437"/>
              </a:solidFill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3F-813B-4C89-9481-929EFFBD6EF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40-813B-4C89-9481-929EFFBD6EF1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41-813B-4C89-9481-929EFFBD6EF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42-813B-4C89-9481-929EFFBD6EF1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43-813B-4C89-9481-929EFFBD6EF1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44-813B-4C89-9481-929EFFBD6EF1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45-813B-4C89-9481-929EFFBD6EF1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46-813B-4C89-9481-929EFFBD6EF1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47-813B-4C89-9481-929EFFBD6EF1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48-813B-4C89-9481-929EFFBD6EF1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49-813B-4C89-9481-929EFFBD6EF1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4A-813B-4C89-9481-929EFFBD6EF1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4B-813B-4C89-9481-929EFFBD6EF1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4C-813B-4C89-9481-929EFFBD6EF1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4D-813B-4C89-9481-929EFFBD6EF1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4E-813B-4C89-9481-929EFFBD6EF1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4F-813B-4C89-9481-929EFFBD6EF1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50-813B-4C89-9481-929EFFBD6EF1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51-813B-4C89-9481-929EFFBD6EF1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52-813B-4C89-9481-929EFFBD6EF1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53-813B-4C89-9481-929EFFBD6EF1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54-813B-4C89-9481-929EFFBD6EF1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55-813B-4C89-9481-929EFFBD6EF1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56-813B-4C89-9481-929EFFBD6EF1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57-813B-4C89-9481-929EFFBD6EF1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58-813B-4C89-9481-929EFFBD6EF1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59-813B-4C89-9481-929EFFBD6EF1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5A-813B-4C89-9481-929EFFBD6EF1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5B-813B-4C89-9481-929EFFBD6EF1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5C-813B-4C89-9481-929EFFBD6EF1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5D-813B-4C89-9481-929EFFBD6EF1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5E-813B-4C89-9481-929EFFBD6EF1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5F-813B-4C89-9481-929EFFBD6EF1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60-813B-4C89-9481-929EFFBD6EF1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61-813B-4C89-9481-929EFFBD6EF1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62-813B-4C89-9481-929EFFBD6EF1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63-813B-4C89-9481-929EFFBD6EF1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64-813B-4C89-9481-929EFFBD6EF1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65-813B-4C89-9481-929EFFBD6EF1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66-813B-4C89-9481-929EFFBD6EF1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67-813B-4C89-9481-929EFFBD6EF1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68-813B-4C89-9481-929EFFBD6EF1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69-813B-4C89-9481-929EFFBD6EF1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6A-813B-4C89-9481-929EFFBD6EF1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6B-813B-4C89-9481-929EFFBD6EF1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6C-813B-4C89-9481-929EFFBD6EF1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6D-813B-4C89-9481-929EFFBD6EF1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6E-813B-4C89-9481-929EFFBD6EF1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6F-813B-4C89-9481-929EFFBD6EF1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70-813B-4C89-9481-929EFFBD6EF1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71-813B-4C89-9481-929EFFBD6EF1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072-813B-4C89-9481-929EFFBD6EF1}"/>
              </c:ext>
            </c:extLst>
          </c:dPt>
          <c:dPt>
            <c:idx val="53"/>
            <c:bubble3D val="0"/>
            <c:extLst>
              <c:ext xmlns:c16="http://schemas.microsoft.com/office/drawing/2014/chart" uri="{C3380CC4-5D6E-409C-BE32-E72D297353CC}">
                <c16:uniqueId val="{00000073-813B-4C89-9481-929EFFBD6EF1}"/>
              </c:ext>
            </c:extLst>
          </c:dPt>
          <c:dPt>
            <c:idx val="54"/>
            <c:bubble3D val="0"/>
            <c:extLst>
              <c:ext xmlns:c16="http://schemas.microsoft.com/office/drawing/2014/chart" uri="{C3380CC4-5D6E-409C-BE32-E72D297353CC}">
                <c16:uniqueId val="{00000074-813B-4C89-9481-929EFFBD6EF1}"/>
              </c:ext>
            </c:extLst>
          </c:dPt>
          <c:dPt>
            <c:idx val="55"/>
            <c:bubble3D val="0"/>
            <c:extLst>
              <c:ext xmlns:c16="http://schemas.microsoft.com/office/drawing/2014/chart" uri="{C3380CC4-5D6E-409C-BE32-E72D297353CC}">
                <c16:uniqueId val="{00000075-813B-4C89-9481-929EFFBD6EF1}"/>
              </c:ext>
            </c:extLst>
          </c:dPt>
          <c:dPt>
            <c:idx val="56"/>
            <c:bubble3D val="0"/>
            <c:extLst>
              <c:ext xmlns:c16="http://schemas.microsoft.com/office/drawing/2014/chart" uri="{C3380CC4-5D6E-409C-BE32-E72D297353CC}">
                <c16:uniqueId val="{00000076-813B-4C89-9481-929EFFBD6EF1}"/>
              </c:ext>
            </c:extLst>
          </c:dPt>
          <c:dPt>
            <c:idx val="57"/>
            <c:bubble3D val="0"/>
            <c:extLst>
              <c:ext xmlns:c16="http://schemas.microsoft.com/office/drawing/2014/chart" uri="{C3380CC4-5D6E-409C-BE32-E72D297353CC}">
                <c16:uniqueId val="{00000077-813B-4C89-9481-929EFFBD6EF1}"/>
              </c:ext>
            </c:extLst>
          </c:dPt>
          <c:dPt>
            <c:idx val="58"/>
            <c:bubble3D val="0"/>
            <c:extLst>
              <c:ext xmlns:c16="http://schemas.microsoft.com/office/drawing/2014/chart" uri="{C3380CC4-5D6E-409C-BE32-E72D297353CC}">
                <c16:uniqueId val="{00000078-813B-4C89-9481-929EFFBD6EF1}"/>
              </c:ext>
            </c:extLst>
          </c:dPt>
          <c:dPt>
            <c:idx val="59"/>
            <c:bubble3D val="0"/>
            <c:extLst>
              <c:ext xmlns:c16="http://schemas.microsoft.com/office/drawing/2014/chart" uri="{C3380CC4-5D6E-409C-BE32-E72D297353CC}">
                <c16:uniqueId val="{00000079-813B-4C89-9481-929EFFBD6EF1}"/>
              </c:ext>
            </c:extLst>
          </c:dPt>
          <c:dPt>
            <c:idx val="60"/>
            <c:bubble3D val="0"/>
            <c:extLst>
              <c:ext xmlns:c16="http://schemas.microsoft.com/office/drawing/2014/chart" uri="{C3380CC4-5D6E-409C-BE32-E72D297353CC}">
                <c16:uniqueId val="{0000007A-813B-4C89-9481-929EFFBD6EF1}"/>
              </c:ext>
            </c:extLst>
          </c:dPt>
          <c:dPt>
            <c:idx val="61"/>
            <c:bubble3D val="0"/>
            <c:extLst>
              <c:ext xmlns:c16="http://schemas.microsoft.com/office/drawing/2014/chart" uri="{C3380CC4-5D6E-409C-BE32-E72D297353CC}">
                <c16:uniqueId val="{0000007B-813B-4C89-9481-929EFFBD6EF1}"/>
              </c:ext>
            </c:extLst>
          </c:dPt>
          <c:dPt>
            <c:idx val="62"/>
            <c:bubble3D val="0"/>
            <c:extLst>
              <c:ext xmlns:c16="http://schemas.microsoft.com/office/drawing/2014/chart" uri="{C3380CC4-5D6E-409C-BE32-E72D297353CC}">
                <c16:uniqueId val="{0000007C-813B-4C89-9481-929EFFBD6EF1}"/>
              </c:ext>
            </c:extLst>
          </c:dPt>
          <c:dPt>
            <c:idx val="63"/>
            <c:bubble3D val="0"/>
            <c:extLst>
              <c:ext xmlns:c16="http://schemas.microsoft.com/office/drawing/2014/chart" uri="{C3380CC4-5D6E-409C-BE32-E72D297353CC}">
                <c16:uniqueId val="{0000007D-813B-4C89-9481-929EFFBD6EF1}"/>
              </c:ext>
            </c:extLst>
          </c:dPt>
          <c:cat>
            <c:strRef>
              <c:f>Trimestriel!$B$22:$B$101</c:f>
              <c:strCache>
                <c:ptCount val="80"/>
                <c:pt idx="0">
                  <c:v>2025T4</c:v>
                </c:pt>
                <c:pt idx="1">
                  <c:v>2025T3</c:v>
                </c:pt>
                <c:pt idx="2">
                  <c:v>2025T2</c:v>
                </c:pt>
                <c:pt idx="3">
                  <c:v>2025T1</c:v>
                </c:pt>
                <c:pt idx="4">
                  <c:v>2024T4</c:v>
                </c:pt>
                <c:pt idx="5">
                  <c:v>2024T3</c:v>
                </c:pt>
                <c:pt idx="6">
                  <c:v>2024T2</c:v>
                </c:pt>
                <c:pt idx="7">
                  <c:v>2024T1</c:v>
                </c:pt>
                <c:pt idx="8">
                  <c:v>2023T4</c:v>
                </c:pt>
                <c:pt idx="9">
                  <c:v>2023T3</c:v>
                </c:pt>
                <c:pt idx="10">
                  <c:v>2023T2</c:v>
                </c:pt>
                <c:pt idx="11">
                  <c:v>2023T1</c:v>
                </c:pt>
                <c:pt idx="12">
                  <c:v>2022T4</c:v>
                </c:pt>
                <c:pt idx="13">
                  <c:v>2022T3</c:v>
                </c:pt>
                <c:pt idx="14">
                  <c:v>2022T2</c:v>
                </c:pt>
                <c:pt idx="15">
                  <c:v>2022T1</c:v>
                </c:pt>
                <c:pt idx="16">
                  <c:v>2021T4</c:v>
                </c:pt>
                <c:pt idx="17">
                  <c:v>2021T3</c:v>
                </c:pt>
                <c:pt idx="18">
                  <c:v>2021T2</c:v>
                </c:pt>
                <c:pt idx="19">
                  <c:v>2021T1</c:v>
                </c:pt>
                <c:pt idx="20">
                  <c:v>2020T4</c:v>
                </c:pt>
                <c:pt idx="21">
                  <c:v>2020T3</c:v>
                </c:pt>
                <c:pt idx="22">
                  <c:v>2020T2</c:v>
                </c:pt>
                <c:pt idx="23">
                  <c:v>2020T1</c:v>
                </c:pt>
                <c:pt idx="24">
                  <c:v>2019T4</c:v>
                </c:pt>
                <c:pt idx="25">
                  <c:v>2019T3</c:v>
                </c:pt>
                <c:pt idx="26">
                  <c:v>2019T2</c:v>
                </c:pt>
                <c:pt idx="27">
                  <c:v>2019T1</c:v>
                </c:pt>
                <c:pt idx="28">
                  <c:v>2018T4</c:v>
                </c:pt>
                <c:pt idx="29">
                  <c:v>2018T3</c:v>
                </c:pt>
                <c:pt idx="30">
                  <c:v>2018T2</c:v>
                </c:pt>
                <c:pt idx="31">
                  <c:v>2018T1</c:v>
                </c:pt>
                <c:pt idx="32">
                  <c:v>2017T4</c:v>
                </c:pt>
                <c:pt idx="33">
                  <c:v>2017T3</c:v>
                </c:pt>
                <c:pt idx="34">
                  <c:v>2017T2</c:v>
                </c:pt>
                <c:pt idx="35">
                  <c:v>2017T1</c:v>
                </c:pt>
                <c:pt idx="36">
                  <c:v>2016T4</c:v>
                </c:pt>
                <c:pt idx="37">
                  <c:v>2016T3</c:v>
                </c:pt>
                <c:pt idx="38">
                  <c:v>2016T2</c:v>
                </c:pt>
                <c:pt idx="39">
                  <c:v>2016T1</c:v>
                </c:pt>
                <c:pt idx="40">
                  <c:v>2015T4</c:v>
                </c:pt>
                <c:pt idx="41">
                  <c:v>2015T3</c:v>
                </c:pt>
                <c:pt idx="42">
                  <c:v>2015T2</c:v>
                </c:pt>
                <c:pt idx="43">
                  <c:v>2015T1</c:v>
                </c:pt>
                <c:pt idx="44">
                  <c:v>2014T4</c:v>
                </c:pt>
                <c:pt idx="45">
                  <c:v>2014T3</c:v>
                </c:pt>
                <c:pt idx="46">
                  <c:v>2014T2</c:v>
                </c:pt>
                <c:pt idx="47">
                  <c:v>2014T1</c:v>
                </c:pt>
                <c:pt idx="48">
                  <c:v>2013T4</c:v>
                </c:pt>
                <c:pt idx="49">
                  <c:v>2013T3</c:v>
                </c:pt>
                <c:pt idx="50">
                  <c:v>2013T2</c:v>
                </c:pt>
                <c:pt idx="51">
                  <c:v>2013T1</c:v>
                </c:pt>
                <c:pt idx="52">
                  <c:v>2012T4</c:v>
                </c:pt>
                <c:pt idx="53">
                  <c:v>2012T3</c:v>
                </c:pt>
                <c:pt idx="54">
                  <c:v>2012T2</c:v>
                </c:pt>
                <c:pt idx="55">
                  <c:v>2012T1</c:v>
                </c:pt>
                <c:pt idx="56">
                  <c:v>2011T4 </c:v>
                </c:pt>
                <c:pt idx="57">
                  <c:v>2011T3 </c:v>
                </c:pt>
                <c:pt idx="58">
                  <c:v>2011T2 </c:v>
                </c:pt>
                <c:pt idx="59">
                  <c:v>2011T1 </c:v>
                </c:pt>
                <c:pt idx="60">
                  <c:v>2010T4 </c:v>
                </c:pt>
                <c:pt idx="61">
                  <c:v>2010T3 </c:v>
                </c:pt>
                <c:pt idx="62">
                  <c:v>2010T2 </c:v>
                </c:pt>
                <c:pt idx="63">
                  <c:v>2010T1 </c:v>
                </c:pt>
                <c:pt idx="64">
                  <c:v>2009T4 </c:v>
                </c:pt>
                <c:pt idx="65">
                  <c:v>2009T3 </c:v>
                </c:pt>
                <c:pt idx="66">
                  <c:v>2009T2 </c:v>
                </c:pt>
                <c:pt idx="67">
                  <c:v>2009T1 </c:v>
                </c:pt>
                <c:pt idx="68">
                  <c:v>2008T4 </c:v>
                </c:pt>
                <c:pt idx="69">
                  <c:v>2008T3 </c:v>
                </c:pt>
                <c:pt idx="70">
                  <c:v>2008T2 </c:v>
                </c:pt>
                <c:pt idx="71">
                  <c:v>2008T1 </c:v>
                </c:pt>
                <c:pt idx="72">
                  <c:v>2007T4 </c:v>
                </c:pt>
                <c:pt idx="73">
                  <c:v>2007T3 </c:v>
                </c:pt>
                <c:pt idx="74">
                  <c:v>2007T2 </c:v>
                </c:pt>
                <c:pt idx="75">
                  <c:v>2007T1 </c:v>
                </c:pt>
                <c:pt idx="76">
                  <c:v>2006T4 </c:v>
                </c:pt>
                <c:pt idx="77">
                  <c:v>2006T3 </c:v>
                </c:pt>
                <c:pt idx="78">
                  <c:v>2006T2 </c:v>
                </c:pt>
                <c:pt idx="79">
                  <c:v>2006T1 </c:v>
                </c:pt>
              </c:strCache>
            </c:strRef>
          </c:cat>
          <c:val>
            <c:numRef>
              <c:f>Annotations!$B$2:$B$66</c:f>
              <c:numCache>
                <c:formatCode>General</c:formatCode>
                <c:ptCount val="65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813B-4C89-9481-929EFFBD6EF1}"/>
            </c:ext>
          </c:extLst>
        </c:ser>
        <c:ser>
          <c:idx val="2"/>
          <c:order val="2"/>
          <c:tx>
            <c:strRef>
              <c:f>Trimestriel!$D$21</c:f>
              <c:strCache>
                <c:ptCount val="1"/>
                <c:pt idx="0">
                  <c:v>Rural</c:v>
                </c:pt>
              </c:strCache>
            </c:strRef>
          </c:tx>
          <c:spPr>
            <a:ln w="19050" cmpd="sng">
              <a:solidFill>
                <a:srgbClr val="F4B400"/>
              </a:solidFill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7F-813B-4C89-9481-929EFFBD6EF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80-813B-4C89-9481-929EFFBD6EF1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81-813B-4C89-9481-929EFFBD6EF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82-813B-4C89-9481-929EFFBD6EF1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83-813B-4C89-9481-929EFFBD6EF1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84-813B-4C89-9481-929EFFBD6EF1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85-813B-4C89-9481-929EFFBD6EF1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86-813B-4C89-9481-929EFFBD6EF1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87-813B-4C89-9481-929EFFBD6EF1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88-813B-4C89-9481-929EFFBD6EF1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89-813B-4C89-9481-929EFFBD6EF1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8A-813B-4C89-9481-929EFFBD6EF1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8B-813B-4C89-9481-929EFFBD6EF1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8C-813B-4C89-9481-929EFFBD6EF1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8D-813B-4C89-9481-929EFFBD6EF1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8E-813B-4C89-9481-929EFFBD6EF1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8F-813B-4C89-9481-929EFFBD6EF1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90-813B-4C89-9481-929EFFBD6EF1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91-813B-4C89-9481-929EFFBD6EF1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92-813B-4C89-9481-929EFFBD6EF1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93-813B-4C89-9481-929EFFBD6EF1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94-813B-4C89-9481-929EFFBD6EF1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95-813B-4C89-9481-929EFFBD6EF1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96-813B-4C89-9481-929EFFBD6EF1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97-813B-4C89-9481-929EFFBD6EF1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98-813B-4C89-9481-929EFFBD6EF1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99-813B-4C89-9481-929EFFBD6EF1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9A-813B-4C89-9481-929EFFBD6EF1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9B-813B-4C89-9481-929EFFBD6EF1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9C-813B-4C89-9481-929EFFBD6EF1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9D-813B-4C89-9481-929EFFBD6EF1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9E-813B-4C89-9481-929EFFBD6EF1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9F-813B-4C89-9481-929EFFBD6EF1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A0-813B-4C89-9481-929EFFBD6EF1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A1-813B-4C89-9481-929EFFBD6EF1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A2-813B-4C89-9481-929EFFBD6EF1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A3-813B-4C89-9481-929EFFBD6EF1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A4-813B-4C89-9481-929EFFBD6EF1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A5-813B-4C89-9481-929EFFBD6EF1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A6-813B-4C89-9481-929EFFBD6EF1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A7-813B-4C89-9481-929EFFBD6EF1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A8-813B-4C89-9481-929EFFBD6EF1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A9-813B-4C89-9481-929EFFBD6EF1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AA-813B-4C89-9481-929EFFBD6EF1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AB-813B-4C89-9481-929EFFBD6EF1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AC-813B-4C89-9481-929EFFBD6EF1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AD-813B-4C89-9481-929EFFBD6EF1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AE-813B-4C89-9481-929EFFBD6EF1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AF-813B-4C89-9481-929EFFBD6EF1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B0-813B-4C89-9481-929EFFBD6EF1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B1-813B-4C89-9481-929EFFBD6EF1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0B2-813B-4C89-9481-929EFFBD6EF1}"/>
              </c:ext>
            </c:extLst>
          </c:dPt>
          <c:dPt>
            <c:idx val="53"/>
            <c:bubble3D val="0"/>
            <c:extLst>
              <c:ext xmlns:c16="http://schemas.microsoft.com/office/drawing/2014/chart" uri="{C3380CC4-5D6E-409C-BE32-E72D297353CC}">
                <c16:uniqueId val="{000000B3-813B-4C89-9481-929EFFBD6EF1}"/>
              </c:ext>
            </c:extLst>
          </c:dPt>
          <c:dPt>
            <c:idx val="54"/>
            <c:bubble3D val="0"/>
            <c:extLst>
              <c:ext xmlns:c16="http://schemas.microsoft.com/office/drawing/2014/chart" uri="{C3380CC4-5D6E-409C-BE32-E72D297353CC}">
                <c16:uniqueId val="{000000B4-813B-4C89-9481-929EFFBD6EF1}"/>
              </c:ext>
            </c:extLst>
          </c:dPt>
          <c:dPt>
            <c:idx val="55"/>
            <c:bubble3D val="0"/>
            <c:extLst>
              <c:ext xmlns:c16="http://schemas.microsoft.com/office/drawing/2014/chart" uri="{C3380CC4-5D6E-409C-BE32-E72D297353CC}">
                <c16:uniqueId val="{000000B5-813B-4C89-9481-929EFFBD6EF1}"/>
              </c:ext>
            </c:extLst>
          </c:dPt>
          <c:dPt>
            <c:idx val="56"/>
            <c:bubble3D val="0"/>
            <c:extLst>
              <c:ext xmlns:c16="http://schemas.microsoft.com/office/drawing/2014/chart" uri="{C3380CC4-5D6E-409C-BE32-E72D297353CC}">
                <c16:uniqueId val="{000000B6-813B-4C89-9481-929EFFBD6EF1}"/>
              </c:ext>
            </c:extLst>
          </c:dPt>
          <c:dPt>
            <c:idx val="57"/>
            <c:bubble3D val="0"/>
            <c:extLst>
              <c:ext xmlns:c16="http://schemas.microsoft.com/office/drawing/2014/chart" uri="{C3380CC4-5D6E-409C-BE32-E72D297353CC}">
                <c16:uniqueId val="{000000B7-813B-4C89-9481-929EFFBD6EF1}"/>
              </c:ext>
            </c:extLst>
          </c:dPt>
          <c:dPt>
            <c:idx val="58"/>
            <c:bubble3D val="0"/>
            <c:extLst>
              <c:ext xmlns:c16="http://schemas.microsoft.com/office/drawing/2014/chart" uri="{C3380CC4-5D6E-409C-BE32-E72D297353CC}">
                <c16:uniqueId val="{000000B8-813B-4C89-9481-929EFFBD6EF1}"/>
              </c:ext>
            </c:extLst>
          </c:dPt>
          <c:dPt>
            <c:idx val="59"/>
            <c:bubble3D val="0"/>
            <c:extLst>
              <c:ext xmlns:c16="http://schemas.microsoft.com/office/drawing/2014/chart" uri="{C3380CC4-5D6E-409C-BE32-E72D297353CC}">
                <c16:uniqueId val="{000000B9-813B-4C89-9481-929EFFBD6EF1}"/>
              </c:ext>
            </c:extLst>
          </c:dPt>
          <c:dPt>
            <c:idx val="60"/>
            <c:bubble3D val="0"/>
            <c:extLst>
              <c:ext xmlns:c16="http://schemas.microsoft.com/office/drawing/2014/chart" uri="{C3380CC4-5D6E-409C-BE32-E72D297353CC}">
                <c16:uniqueId val="{000000BA-813B-4C89-9481-929EFFBD6EF1}"/>
              </c:ext>
            </c:extLst>
          </c:dPt>
          <c:dPt>
            <c:idx val="61"/>
            <c:bubble3D val="0"/>
            <c:extLst>
              <c:ext xmlns:c16="http://schemas.microsoft.com/office/drawing/2014/chart" uri="{C3380CC4-5D6E-409C-BE32-E72D297353CC}">
                <c16:uniqueId val="{000000BB-813B-4C89-9481-929EFFBD6EF1}"/>
              </c:ext>
            </c:extLst>
          </c:dPt>
          <c:dPt>
            <c:idx val="62"/>
            <c:bubble3D val="0"/>
            <c:extLst>
              <c:ext xmlns:c16="http://schemas.microsoft.com/office/drawing/2014/chart" uri="{C3380CC4-5D6E-409C-BE32-E72D297353CC}">
                <c16:uniqueId val="{000000BC-813B-4C89-9481-929EFFBD6EF1}"/>
              </c:ext>
            </c:extLst>
          </c:dPt>
          <c:dPt>
            <c:idx val="63"/>
            <c:bubble3D val="0"/>
            <c:extLst>
              <c:ext xmlns:c16="http://schemas.microsoft.com/office/drawing/2014/chart" uri="{C3380CC4-5D6E-409C-BE32-E72D297353CC}">
                <c16:uniqueId val="{000000BD-813B-4C89-9481-929EFFBD6EF1}"/>
              </c:ext>
            </c:extLst>
          </c:dPt>
          <c:cat>
            <c:strRef>
              <c:f>Trimestriel!$B$22:$B$101</c:f>
              <c:strCache>
                <c:ptCount val="80"/>
                <c:pt idx="0">
                  <c:v>2025T4</c:v>
                </c:pt>
                <c:pt idx="1">
                  <c:v>2025T3</c:v>
                </c:pt>
                <c:pt idx="2">
                  <c:v>2025T2</c:v>
                </c:pt>
                <c:pt idx="3">
                  <c:v>2025T1</c:v>
                </c:pt>
                <c:pt idx="4">
                  <c:v>2024T4</c:v>
                </c:pt>
                <c:pt idx="5">
                  <c:v>2024T3</c:v>
                </c:pt>
                <c:pt idx="6">
                  <c:v>2024T2</c:v>
                </c:pt>
                <c:pt idx="7">
                  <c:v>2024T1</c:v>
                </c:pt>
                <c:pt idx="8">
                  <c:v>2023T4</c:v>
                </c:pt>
                <c:pt idx="9">
                  <c:v>2023T3</c:v>
                </c:pt>
                <c:pt idx="10">
                  <c:v>2023T2</c:v>
                </c:pt>
                <c:pt idx="11">
                  <c:v>2023T1</c:v>
                </c:pt>
                <c:pt idx="12">
                  <c:v>2022T4</c:v>
                </c:pt>
                <c:pt idx="13">
                  <c:v>2022T3</c:v>
                </c:pt>
                <c:pt idx="14">
                  <c:v>2022T2</c:v>
                </c:pt>
                <c:pt idx="15">
                  <c:v>2022T1</c:v>
                </c:pt>
                <c:pt idx="16">
                  <c:v>2021T4</c:v>
                </c:pt>
                <c:pt idx="17">
                  <c:v>2021T3</c:v>
                </c:pt>
                <c:pt idx="18">
                  <c:v>2021T2</c:v>
                </c:pt>
                <c:pt idx="19">
                  <c:v>2021T1</c:v>
                </c:pt>
                <c:pt idx="20">
                  <c:v>2020T4</c:v>
                </c:pt>
                <c:pt idx="21">
                  <c:v>2020T3</c:v>
                </c:pt>
                <c:pt idx="22">
                  <c:v>2020T2</c:v>
                </c:pt>
                <c:pt idx="23">
                  <c:v>2020T1</c:v>
                </c:pt>
                <c:pt idx="24">
                  <c:v>2019T4</c:v>
                </c:pt>
                <c:pt idx="25">
                  <c:v>2019T3</c:v>
                </c:pt>
                <c:pt idx="26">
                  <c:v>2019T2</c:v>
                </c:pt>
                <c:pt idx="27">
                  <c:v>2019T1</c:v>
                </c:pt>
                <c:pt idx="28">
                  <c:v>2018T4</c:v>
                </c:pt>
                <c:pt idx="29">
                  <c:v>2018T3</c:v>
                </c:pt>
                <c:pt idx="30">
                  <c:v>2018T2</c:v>
                </c:pt>
                <c:pt idx="31">
                  <c:v>2018T1</c:v>
                </c:pt>
                <c:pt idx="32">
                  <c:v>2017T4</c:v>
                </c:pt>
                <c:pt idx="33">
                  <c:v>2017T3</c:v>
                </c:pt>
                <c:pt idx="34">
                  <c:v>2017T2</c:v>
                </c:pt>
                <c:pt idx="35">
                  <c:v>2017T1</c:v>
                </c:pt>
                <c:pt idx="36">
                  <c:v>2016T4</c:v>
                </c:pt>
                <c:pt idx="37">
                  <c:v>2016T3</c:v>
                </c:pt>
                <c:pt idx="38">
                  <c:v>2016T2</c:v>
                </c:pt>
                <c:pt idx="39">
                  <c:v>2016T1</c:v>
                </c:pt>
                <c:pt idx="40">
                  <c:v>2015T4</c:v>
                </c:pt>
                <c:pt idx="41">
                  <c:v>2015T3</c:v>
                </c:pt>
                <c:pt idx="42">
                  <c:v>2015T2</c:v>
                </c:pt>
                <c:pt idx="43">
                  <c:v>2015T1</c:v>
                </c:pt>
                <c:pt idx="44">
                  <c:v>2014T4</c:v>
                </c:pt>
                <c:pt idx="45">
                  <c:v>2014T3</c:v>
                </c:pt>
                <c:pt idx="46">
                  <c:v>2014T2</c:v>
                </c:pt>
                <c:pt idx="47">
                  <c:v>2014T1</c:v>
                </c:pt>
                <c:pt idx="48">
                  <c:v>2013T4</c:v>
                </c:pt>
                <c:pt idx="49">
                  <c:v>2013T3</c:v>
                </c:pt>
                <c:pt idx="50">
                  <c:v>2013T2</c:v>
                </c:pt>
                <c:pt idx="51">
                  <c:v>2013T1</c:v>
                </c:pt>
                <c:pt idx="52">
                  <c:v>2012T4</c:v>
                </c:pt>
                <c:pt idx="53">
                  <c:v>2012T3</c:v>
                </c:pt>
                <c:pt idx="54">
                  <c:v>2012T2</c:v>
                </c:pt>
                <c:pt idx="55">
                  <c:v>2012T1</c:v>
                </c:pt>
                <c:pt idx="56">
                  <c:v>2011T4 </c:v>
                </c:pt>
                <c:pt idx="57">
                  <c:v>2011T3 </c:v>
                </c:pt>
                <c:pt idx="58">
                  <c:v>2011T2 </c:v>
                </c:pt>
                <c:pt idx="59">
                  <c:v>2011T1 </c:v>
                </c:pt>
                <c:pt idx="60">
                  <c:v>2010T4 </c:v>
                </c:pt>
                <c:pt idx="61">
                  <c:v>2010T3 </c:v>
                </c:pt>
                <c:pt idx="62">
                  <c:v>2010T2 </c:v>
                </c:pt>
                <c:pt idx="63">
                  <c:v>2010T1 </c:v>
                </c:pt>
                <c:pt idx="64">
                  <c:v>2009T4 </c:v>
                </c:pt>
                <c:pt idx="65">
                  <c:v>2009T3 </c:v>
                </c:pt>
                <c:pt idx="66">
                  <c:v>2009T2 </c:v>
                </c:pt>
                <c:pt idx="67">
                  <c:v>2009T1 </c:v>
                </c:pt>
                <c:pt idx="68">
                  <c:v>2008T4 </c:v>
                </c:pt>
                <c:pt idx="69">
                  <c:v>2008T3 </c:v>
                </c:pt>
                <c:pt idx="70">
                  <c:v>2008T2 </c:v>
                </c:pt>
                <c:pt idx="71">
                  <c:v>2008T1 </c:v>
                </c:pt>
                <c:pt idx="72">
                  <c:v>2007T4 </c:v>
                </c:pt>
                <c:pt idx="73">
                  <c:v>2007T3 </c:v>
                </c:pt>
                <c:pt idx="74">
                  <c:v>2007T2 </c:v>
                </c:pt>
                <c:pt idx="75">
                  <c:v>2007T1 </c:v>
                </c:pt>
                <c:pt idx="76">
                  <c:v>2006T4 </c:v>
                </c:pt>
                <c:pt idx="77">
                  <c:v>2006T3 </c:v>
                </c:pt>
                <c:pt idx="78">
                  <c:v>2006T2 </c:v>
                </c:pt>
                <c:pt idx="79">
                  <c:v>2006T1 </c:v>
                </c:pt>
              </c:strCache>
            </c:strRef>
          </c:cat>
          <c:val>
            <c:numRef>
              <c:f>Trimestriel!$D$22:$D$101</c:f>
              <c:numCache>
                <c:formatCode>###0.0</c:formatCode>
                <c:ptCount val="80"/>
                <c:pt idx="0">
                  <c:v>6.2</c:v>
                </c:pt>
                <c:pt idx="1">
                  <c:v>6.9</c:v>
                </c:pt>
                <c:pt idx="2">
                  <c:v>6.2</c:v>
                </c:pt>
                <c:pt idx="3">
                  <c:v>7.3</c:v>
                </c:pt>
                <c:pt idx="4">
                  <c:v>6.2</c:v>
                </c:pt>
                <c:pt idx="5">
                  <c:v>7.4</c:v>
                </c:pt>
                <c:pt idx="6">
                  <c:v>6.7</c:v>
                </c:pt>
                <c:pt idx="7">
                  <c:v>6.8</c:v>
                </c:pt>
                <c:pt idx="8">
                  <c:v>7</c:v>
                </c:pt>
                <c:pt idx="9">
                  <c:v>7</c:v>
                </c:pt>
                <c:pt idx="10">
                  <c:v>5.7</c:v>
                </c:pt>
                <c:pt idx="11">
                  <c:v>5.7</c:v>
                </c:pt>
                <c:pt idx="12">
                  <c:v>6.6</c:v>
                </c:pt>
                <c:pt idx="13">
                  <c:v>5.2</c:v>
                </c:pt>
                <c:pt idx="14">
                  <c:v>4.2</c:v>
                </c:pt>
                <c:pt idx="15">
                  <c:v>5.0999999999999996</c:v>
                </c:pt>
                <c:pt idx="16">
                  <c:v>4.5</c:v>
                </c:pt>
                <c:pt idx="17">
                  <c:v>5.2</c:v>
                </c:pt>
                <c:pt idx="18">
                  <c:v>4.8</c:v>
                </c:pt>
                <c:pt idx="19">
                  <c:v>5.3</c:v>
                </c:pt>
                <c:pt idx="20">
                  <c:v>5.9</c:v>
                </c:pt>
                <c:pt idx="21">
                  <c:v>6.8</c:v>
                </c:pt>
                <c:pt idx="22">
                  <c:v>7.2</c:v>
                </c:pt>
                <c:pt idx="23">
                  <c:v>3.9</c:v>
                </c:pt>
                <c:pt idx="24">
                  <c:v>4.0999999999999996</c:v>
                </c:pt>
                <c:pt idx="25">
                  <c:v>4.5</c:v>
                </c:pt>
                <c:pt idx="26">
                  <c:v>3</c:v>
                </c:pt>
                <c:pt idx="27">
                  <c:v>3.1</c:v>
                </c:pt>
                <c:pt idx="28">
                  <c:v>3.5</c:v>
                </c:pt>
                <c:pt idx="29">
                  <c:v>3.9</c:v>
                </c:pt>
                <c:pt idx="30">
                  <c:v>3.3</c:v>
                </c:pt>
                <c:pt idx="31">
                  <c:v>3.5</c:v>
                </c:pt>
                <c:pt idx="32">
                  <c:v>4.3</c:v>
                </c:pt>
                <c:pt idx="33">
                  <c:v>4.5999999999999996</c:v>
                </c:pt>
                <c:pt idx="34">
                  <c:v>3.2</c:v>
                </c:pt>
                <c:pt idx="35">
                  <c:v>4.0999999999999996</c:v>
                </c:pt>
                <c:pt idx="36">
                  <c:v>4</c:v>
                </c:pt>
                <c:pt idx="37">
                  <c:v>4.3</c:v>
                </c:pt>
                <c:pt idx="38">
                  <c:v>3.7</c:v>
                </c:pt>
                <c:pt idx="39">
                  <c:v>4.5</c:v>
                </c:pt>
                <c:pt idx="40">
                  <c:v>3.5</c:v>
                </c:pt>
                <c:pt idx="41">
                  <c:v>4.3</c:v>
                </c:pt>
                <c:pt idx="42">
                  <c:v>3.2905211550378706</c:v>
                </c:pt>
                <c:pt idx="43">
                  <c:v>4.706724503853744</c:v>
                </c:pt>
                <c:pt idx="44">
                  <c:v>3.991353450529207</c:v>
                </c:pt>
                <c:pt idx="45">
                  <c:v>4.1003837131971421</c:v>
                </c:pt>
                <c:pt idx="46">
                  <c:v>3.6095013862291707</c:v>
                </c:pt>
                <c:pt idx="47" formatCode="#\ ##0.0">
                  <c:v>5.0884879307595501</c:v>
                </c:pt>
                <c:pt idx="48" formatCode="#\ ##0.0">
                  <c:v>3.9703993085440832</c:v>
                </c:pt>
                <c:pt idx="49" formatCode="#\ ##0.0">
                  <c:v>3.7006610610874278</c:v>
                </c:pt>
                <c:pt idx="50" formatCode="#\ ##0.0">
                  <c:v>3.1687612046845248</c:v>
                </c:pt>
                <c:pt idx="51" formatCode="#\ ##0.0">
                  <c:v>4.417658550717241</c:v>
                </c:pt>
                <c:pt idx="52" formatCode="#\ ##0.0">
                  <c:v>3.6307967704040722</c:v>
                </c:pt>
                <c:pt idx="53" formatCode="#\ ##0.0">
                  <c:v>4.1939272119106317</c:v>
                </c:pt>
                <c:pt idx="54" formatCode="0.0">
                  <c:v>3.4563773476788109</c:v>
                </c:pt>
                <c:pt idx="55" formatCode="0.0">
                  <c:v>4.7953898135355564</c:v>
                </c:pt>
                <c:pt idx="56" formatCode="0.0">
                  <c:v>3.4349162176931078</c:v>
                </c:pt>
                <c:pt idx="57" formatCode="0.0">
                  <c:v>4.1185407175375062</c:v>
                </c:pt>
                <c:pt idx="58" formatCode="0.0">
                  <c:v>3.5846207683135467</c:v>
                </c:pt>
                <c:pt idx="59" formatCode="0.0">
                  <c:v>4.2573324432157564</c:v>
                </c:pt>
                <c:pt idx="60" formatCode="0.0">
                  <c:v>4.179847926885798</c:v>
                </c:pt>
                <c:pt idx="61" formatCode="0.0">
                  <c:v>3.7904397581189921</c:v>
                </c:pt>
                <c:pt idx="62" formatCode="0.0">
                  <c:v>3.3211151223353959</c:v>
                </c:pt>
                <c:pt idx="63" formatCode="0.0">
                  <c:v>4.6384232144462079</c:v>
                </c:pt>
                <c:pt idx="64" formatCode="0.0">
                  <c:v>3.7197497394921286</c:v>
                </c:pt>
                <c:pt idx="65" formatCode="0.0">
                  <c:v>4.2552716848756598</c:v>
                </c:pt>
                <c:pt idx="66" formatCode="0.0">
                  <c:v>3.02997937423679</c:v>
                </c:pt>
                <c:pt idx="67" formatCode="0.0">
                  <c:v>4.6725137010302831</c:v>
                </c:pt>
                <c:pt idx="68" formatCode="0.0">
                  <c:v>3.8201556834269619</c:v>
                </c:pt>
                <c:pt idx="69" formatCode="0.0">
                  <c:v>3.9070791517362804</c:v>
                </c:pt>
                <c:pt idx="70" formatCode="0.0">
                  <c:v>3.8574951905030028</c:v>
                </c:pt>
                <c:pt idx="71" formatCode="0.0">
                  <c:v>4.0177744140815204</c:v>
                </c:pt>
                <c:pt idx="72" formatCode="0.0">
                  <c:v>4.0849631064860263</c:v>
                </c:pt>
                <c:pt idx="73" formatCode="0.0">
                  <c:v>3.5390839519819894</c:v>
                </c:pt>
                <c:pt idx="74" formatCode="0.0">
                  <c:v>3.4433380339271209</c:v>
                </c:pt>
                <c:pt idx="75" formatCode="0.0">
                  <c:v>3.9152446546052633</c:v>
                </c:pt>
                <c:pt idx="76" formatCode="0.0">
                  <c:v>4.3604052329215142</c:v>
                </c:pt>
                <c:pt idx="77" formatCode="0.0">
                  <c:v>3.9273182296861537</c:v>
                </c:pt>
                <c:pt idx="78" formatCode="0.0">
                  <c:v>2.4210610122761675</c:v>
                </c:pt>
                <c:pt idx="79" formatCode="0.0">
                  <c:v>3.7484614629683661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813B-4C89-9481-929EFFBD6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4954572"/>
        <c:axId val="1575234642"/>
      </c:lineChart>
      <c:catAx>
        <c:axId val="14049545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1">
                <a:solidFill>
                  <a:srgbClr val="222222"/>
                </a:solidFill>
                <a:latin typeface="Roboto"/>
              </a:defRPr>
            </a:pPr>
            <a:endParaRPr lang="fr-FR"/>
          </a:p>
        </c:txPr>
        <c:crossAx val="1575234642"/>
        <c:crosses val="autoZero"/>
        <c:auto val="1"/>
        <c:lblAlgn val="ctr"/>
        <c:lblOffset val="100"/>
        <c:noMultiLvlLbl val="1"/>
      </c:catAx>
      <c:valAx>
        <c:axId val="1575234642"/>
        <c:scaling>
          <c:orientation val="minMax"/>
          <c:max val="20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fr-FR"/>
              </a:p>
            </c:rich>
          </c:tx>
          <c:overlay val="0"/>
        </c:title>
        <c:numFmt formatCode="###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200" b="1">
                <a:solidFill>
                  <a:srgbClr val="000000"/>
                </a:solidFill>
                <a:latin typeface="Roboto"/>
              </a:defRPr>
            </a:pPr>
            <a:endParaRPr lang="fr-FR"/>
          </a:p>
        </c:txPr>
        <c:crossAx val="1404954572"/>
        <c:crosses val="autoZero"/>
        <c:crossBetween val="between"/>
        <c:majorUnit val="5"/>
        <c:minorUnit val="2.5"/>
      </c:valAx>
    </c:plotArea>
    <c:legend>
      <c:legendPos val="t"/>
      <c:overlay val="0"/>
      <c:txPr>
        <a:bodyPr/>
        <a:lstStyle/>
        <a:p>
          <a:pPr lvl="0">
            <a:defRPr sz="1400" b="0">
              <a:solidFill>
                <a:srgbClr val="000000"/>
              </a:solidFill>
              <a:latin typeface="Roboto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0</xdr:rowOff>
    </xdr:from>
    <xdr:ext cx="7029450" cy="3609975"/>
    <xdr:graphicFrame macro="">
      <xdr:nvGraphicFramePr>
        <xdr:cNvPr id="2" name="Chart 1" title="Graphiqu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2"/>
  <sheetViews>
    <sheetView showGridLines="0" tabSelected="1" topLeftCell="A115" workbookViewId="0"/>
  </sheetViews>
  <sheetFormatPr baseColWidth="10" defaultColWidth="12.6328125" defaultRowHeight="15.75" customHeight="1" x14ac:dyDescent="0.25"/>
  <cols>
    <col min="1" max="1" width="2.7265625" customWidth="1"/>
    <col min="2" max="5" width="23.08984375" customWidth="1"/>
    <col min="6" max="6" width="2.7265625" customWidth="1"/>
  </cols>
  <sheetData>
    <row r="1" spans="2:2" ht="15.75" customHeight="1" x14ac:dyDescent="0.25">
      <c r="B1" s="6"/>
    </row>
    <row r="2" spans="2:2" ht="15.75" customHeight="1" x14ac:dyDescent="0.25">
      <c r="B2" s="6"/>
    </row>
    <row r="3" spans="2:2" ht="15.75" customHeight="1" x14ac:dyDescent="0.25">
      <c r="B3" s="6"/>
    </row>
    <row r="4" spans="2:2" ht="15.75" customHeight="1" x14ac:dyDescent="0.25">
      <c r="B4" s="6"/>
    </row>
    <row r="5" spans="2:2" ht="15.75" customHeight="1" x14ac:dyDescent="0.25">
      <c r="B5" s="6"/>
    </row>
    <row r="6" spans="2:2" ht="15.75" customHeight="1" x14ac:dyDescent="0.25">
      <c r="B6" s="6"/>
    </row>
    <row r="7" spans="2:2" ht="15.75" customHeight="1" x14ac:dyDescent="0.25">
      <c r="B7" s="6"/>
    </row>
    <row r="8" spans="2:2" ht="15.75" customHeight="1" x14ac:dyDescent="0.25">
      <c r="B8" s="6"/>
    </row>
    <row r="9" spans="2:2" ht="15.75" customHeight="1" x14ac:dyDescent="0.25">
      <c r="B9" s="6"/>
    </row>
    <row r="10" spans="2:2" ht="15.75" customHeight="1" x14ac:dyDescent="0.25">
      <c r="B10" s="6"/>
    </row>
    <row r="11" spans="2:2" ht="15.75" customHeight="1" x14ac:dyDescent="0.25">
      <c r="B11" s="6"/>
    </row>
    <row r="12" spans="2:2" ht="15.75" customHeight="1" x14ac:dyDescent="0.25">
      <c r="B12" s="6"/>
    </row>
    <row r="13" spans="2:2" ht="15.75" customHeight="1" x14ac:dyDescent="0.25">
      <c r="B13" s="6"/>
    </row>
    <row r="14" spans="2:2" ht="15.75" customHeight="1" x14ac:dyDescent="0.25">
      <c r="B14" s="6"/>
    </row>
    <row r="15" spans="2:2" ht="15.75" customHeight="1" x14ac:dyDescent="0.25">
      <c r="B15" s="6"/>
    </row>
    <row r="16" spans="2:2" ht="15.75" customHeight="1" x14ac:dyDescent="0.25">
      <c r="B16" s="6"/>
    </row>
    <row r="17" spans="1:6" ht="15.75" customHeight="1" x14ac:dyDescent="0.25">
      <c r="B17" s="6"/>
    </row>
    <row r="18" spans="1:6" ht="15.75" customHeight="1" x14ac:dyDescent="0.25">
      <c r="B18" s="6"/>
    </row>
    <row r="19" spans="1:6" ht="15.75" customHeight="1" x14ac:dyDescent="0.25">
      <c r="B19" s="6"/>
    </row>
    <row r="20" spans="1:6" ht="15.75" customHeight="1" x14ac:dyDescent="0.25">
      <c r="B20" s="6"/>
    </row>
    <row r="21" spans="1:6" ht="15.75" customHeight="1" x14ac:dyDescent="0.25">
      <c r="A21" s="7"/>
      <c r="B21" s="8" t="s">
        <v>0</v>
      </c>
      <c r="C21" s="9" t="s">
        <v>1</v>
      </c>
      <c r="D21" s="9" t="s">
        <v>2</v>
      </c>
      <c r="E21" s="9" t="s">
        <v>3</v>
      </c>
      <c r="F21" s="7"/>
    </row>
    <row r="22" spans="1:6" ht="15.75" customHeight="1" x14ac:dyDescent="0.25">
      <c r="A22" s="10"/>
      <c r="B22" s="11" t="s">
        <v>5</v>
      </c>
      <c r="C22" s="12">
        <v>16.5</v>
      </c>
      <c r="D22" s="12">
        <v>6.2</v>
      </c>
      <c r="E22" s="12">
        <v>12.9</v>
      </c>
      <c r="F22" s="13"/>
    </row>
    <row r="23" spans="1:6" ht="15.75" customHeight="1" x14ac:dyDescent="0.25">
      <c r="A23" s="10"/>
      <c r="B23" s="11" t="s">
        <v>6</v>
      </c>
      <c r="C23" s="12">
        <v>16.3</v>
      </c>
      <c r="D23" s="12">
        <v>6.9</v>
      </c>
      <c r="E23" s="12">
        <v>13.1</v>
      </c>
      <c r="F23" s="13"/>
    </row>
    <row r="24" spans="1:6" ht="12.5" x14ac:dyDescent="0.25">
      <c r="A24" s="10"/>
      <c r="B24" s="11" t="s">
        <v>7</v>
      </c>
      <c r="C24" s="12">
        <v>16.399999999999999</v>
      </c>
      <c r="D24" s="12">
        <v>6.2</v>
      </c>
      <c r="E24" s="12">
        <v>12.8</v>
      </c>
      <c r="F24" s="13"/>
    </row>
    <row r="25" spans="1:6" ht="12.5" x14ac:dyDescent="0.25">
      <c r="A25" s="10"/>
      <c r="B25" s="11" t="s">
        <v>8</v>
      </c>
      <c r="C25" s="12">
        <v>16.600000000000001</v>
      </c>
      <c r="D25" s="12">
        <v>7.3</v>
      </c>
      <c r="E25" s="12">
        <v>13.3</v>
      </c>
      <c r="F25" s="13"/>
    </row>
    <row r="26" spans="1:6" ht="12.5" x14ac:dyDescent="0.25">
      <c r="A26" s="10"/>
      <c r="B26" s="11" t="s">
        <v>9</v>
      </c>
      <c r="C26" s="12">
        <v>16.5</v>
      </c>
      <c r="D26" s="12">
        <v>6.2</v>
      </c>
      <c r="E26" s="12">
        <v>12.9</v>
      </c>
      <c r="F26" s="13"/>
    </row>
    <row r="27" spans="1:6" ht="12.5" x14ac:dyDescent="0.25">
      <c r="A27" s="10"/>
      <c r="B27" s="11" t="s">
        <v>10</v>
      </c>
      <c r="C27" s="12">
        <v>17</v>
      </c>
      <c r="D27" s="12">
        <v>7.4</v>
      </c>
      <c r="E27" s="12">
        <v>13.6</v>
      </c>
      <c r="F27" s="13"/>
    </row>
    <row r="28" spans="1:6" ht="12.5" x14ac:dyDescent="0.25">
      <c r="A28" s="10"/>
      <c r="B28" s="11" t="s">
        <v>11</v>
      </c>
      <c r="C28" s="12">
        <v>16.7</v>
      </c>
      <c r="D28" s="12">
        <v>6.7</v>
      </c>
      <c r="E28" s="12">
        <v>13.1</v>
      </c>
      <c r="F28" s="13"/>
    </row>
    <row r="29" spans="1:6" ht="12.5" x14ac:dyDescent="0.25">
      <c r="A29" s="10"/>
      <c r="B29" s="11" t="s">
        <v>12</v>
      </c>
      <c r="C29" s="12">
        <v>17.600000000000001</v>
      </c>
      <c r="D29" s="12">
        <v>6.8</v>
      </c>
      <c r="E29" s="12">
        <v>13.7</v>
      </c>
      <c r="F29" s="13"/>
    </row>
    <row r="30" spans="1:6" ht="12.5" x14ac:dyDescent="0.25">
      <c r="A30" s="10"/>
      <c r="B30" s="11" t="s">
        <v>13</v>
      </c>
      <c r="C30" s="12">
        <v>16.899999999999999</v>
      </c>
      <c r="D30" s="12">
        <v>7</v>
      </c>
      <c r="E30" s="12">
        <v>13.3</v>
      </c>
      <c r="F30" s="13"/>
    </row>
    <row r="31" spans="1:6" ht="12.5" x14ac:dyDescent="0.25">
      <c r="A31" s="10"/>
      <c r="B31" s="11" t="s">
        <v>14</v>
      </c>
      <c r="C31" s="12">
        <v>17</v>
      </c>
      <c r="D31" s="12">
        <v>7</v>
      </c>
      <c r="E31" s="12">
        <v>13.5</v>
      </c>
      <c r="F31" s="13"/>
    </row>
    <row r="32" spans="1:6" ht="12.5" x14ac:dyDescent="0.25">
      <c r="A32" s="10"/>
      <c r="B32" s="11" t="s">
        <v>15</v>
      </c>
      <c r="C32" s="12">
        <v>16.3</v>
      </c>
      <c r="D32" s="12">
        <v>5.7</v>
      </c>
      <c r="E32" s="12">
        <v>12.4</v>
      </c>
      <c r="F32" s="13"/>
    </row>
    <row r="33" spans="1:6" ht="12.5" x14ac:dyDescent="0.25">
      <c r="A33" s="10"/>
      <c r="B33" s="11" t="s">
        <v>16</v>
      </c>
      <c r="C33" s="12">
        <v>17.100000000000001</v>
      </c>
      <c r="D33" s="12">
        <v>5.7</v>
      </c>
      <c r="E33" s="12">
        <v>12.9</v>
      </c>
      <c r="F33" s="13"/>
    </row>
    <row r="34" spans="1:6" ht="12.5" x14ac:dyDescent="0.25">
      <c r="A34" s="10"/>
      <c r="B34" s="11" t="s">
        <v>17</v>
      </c>
      <c r="C34" s="12">
        <v>16.600000000000001</v>
      </c>
      <c r="D34" s="12">
        <v>6.6</v>
      </c>
      <c r="E34" s="12">
        <v>12.9</v>
      </c>
      <c r="F34" s="13"/>
    </row>
    <row r="35" spans="1:6" ht="12.5" x14ac:dyDescent="0.25">
      <c r="A35" s="10"/>
      <c r="B35" s="11" t="s">
        <v>18</v>
      </c>
      <c r="C35" s="12">
        <v>15</v>
      </c>
      <c r="D35" s="12">
        <v>5.2</v>
      </c>
      <c r="E35" s="12">
        <v>11.4</v>
      </c>
      <c r="F35" s="13"/>
    </row>
    <row r="36" spans="1:6" ht="12.5" x14ac:dyDescent="0.25">
      <c r="A36" s="10"/>
      <c r="B36" s="11" t="s">
        <v>19</v>
      </c>
      <c r="C36" s="14">
        <v>15.5</v>
      </c>
      <c r="D36" s="14">
        <v>4.2</v>
      </c>
      <c r="E36" s="14">
        <v>11.2</v>
      </c>
      <c r="F36" s="13"/>
    </row>
    <row r="37" spans="1:6" ht="12.5" x14ac:dyDescent="0.25">
      <c r="A37" s="10"/>
      <c r="B37" s="11" t="s">
        <v>20</v>
      </c>
      <c r="C37" s="14">
        <v>16.3</v>
      </c>
      <c r="D37" s="14">
        <v>5.0999999999999996</v>
      </c>
      <c r="E37" s="14">
        <v>12.1</v>
      </c>
      <c r="F37" s="13"/>
    </row>
    <row r="38" spans="1:6" ht="12.5" x14ac:dyDescent="0.25">
      <c r="A38" s="10"/>
      <c r="B38" s="11" t="s">
        <v>21</v>
      </c>
      <c r="C38" s="14">
        <v>16.5</v>
      </c>
      <c r="D38" s="14">
        <v>4.5</v>
      </c>
      <c r="E38" s="14">
        <v>11.9</v>
      </c>
      <c r="F38" s="13"/>
    </row>
    <row r="39" spans="1:6" ht="12.5" x14ac:dyDescent="0.25">
      <c r="A39" s="10"/>
      <c r="B39" s="11" t="s">
        <v>22</v>
      </c>
      <c r="C39" s="14">
        <v>16</v>
      </c>
      <c r="D39" s="14">
        <v>5.2</v>
      </c>
      <c r="E39" s="14">
        <v>11.8</v>
      </c>
      <c r="F39" s="13"/>
    </row>
    <row r="40" spans="1:6" ht="12.5" x14ac:dyDescent="0.25">
      <c r="A40" s="10"/>
      <c r="B40" s="11" t="s">
        <v>23</v>
      </c>
      <c r="C40" s="14">
        <v>18.2</v>
      </c>
      <c r="D40" s="14">
        <v>4.8</v>
      </c>
      <c r="E40" s="14">
        <v>12.8</v>
      </c>
      <c r="F40" s="13"/>
    </row>
    <row r="41" spans="1:6" ht="12.5" x14ac:dyDescent="0.25">
      <c r="A41" s="10"/>
      <c r="B41" s="11" t="s">
        <v>24</v>
      </c>
      <c r="C41" s="14">
        <v>17.100000000000001</v>
      </c>
      <c r="D41" s="14">
        <v>5.3</v>
      </c>
      <c r="E41" s="14">
        <v>12.5</v>
      </c>
      <c r="F41" s="13"/>
    </row>
    <row r="42" spans="1:6" ht="12.5" x14ac:dyDescent="0.25">
      <c r="A42" s="10"/>
      <c r="B42" s="11" t="s">
        <v>25</v>
      </c>
      <c r="C42" s="14">
        <v>16.3</v>
      </c>
      <c r="D42" s="14">
        <v>5.9</v>
      </c>
      <c r="E42" s="14">
        <v>12.2</v>
      </c>
      <c r="F42" s="13"/>
    </row>
    <row r="43" spans="1:6" ht="12.5" x14ac:dyDescent="0.25">
      <c r="A43" s="10"/>
      <c r="B43" s="11" t="s">
        <v>26</v>
      </c>
      <c r="C43" s="14">
        <v>16.5</v>
      </c>
      <c r="D43" s="14">
        <v>6.8</v>
      </c>
      <c r="E43" s="14">
        <v>12.7</v>
      </c>
      <c r="F43" s="13"/>
    </row>
    <row r="44" spans="1:6" ht="12.5" x14ac:dyDescent="0.25">
      <c r="A44" s="10"/>
      <c r="B44" s="11" t="s">
        <v>27</v>
      </c>
      <c r="C44" s="14">
        <v>15.6</v>
      </c>
      <c r="D44" s="14">
        <v>7.2</v>
      </c>
      <c r="E44" s="14">
        <v>12.3</v>
      </c>
      <c r="F44" s="13"/>
    </row>
    <row r="45" spans="1:6" ht="12.5" x14ac:dyDescent="0.25">
      <c r="A45" s="10"/>
      <c r="B45" s="11" t="s">
        <v>28</v>
      </c>
      <c r="C45" s="14">
        <v>15.1</v>
      </c>
      <c r="D45" s="14">
        <v>3.9</v>
      </c>
      <c r="E45" s="14">
        <v>10.5</v>
      </c>
      <c r="F45" s="13"/>
    </row>
    <row r="46" spans="1:6" ht="12.5" x14ac:dyDescent="0.25">
      <c r="A46" s="10"/>
      <c r="B46" s="11" t="s">
        <v>29</v>
      </c>
      <c r="C46" s="14">
        <v>14.3</v>
      </c>
      <c r="D46" s="14">
        <v>4.0999999999999996</v>
      </c>
      <c r="E46" s="14">
        <v>10.199999999999999</v>
      </c>
      <c r="F46" s="13"/>
    </row>
    <row r="47" spans="1:6" ht="12.5" x14ac:dyDescent="0.25">
      <c r="A47" s="10"/>
      <c r="B47" s="11" t="s">
        <v>30</v>
      </c>
      <c r="C47" s="14">
        <v>12.7</v>
      </c>
      <c r="D47" s="14">
        <v>4.5</v>
      </c>
      <c r="E47" s="14">
        <v>9.4</v>
      </c>
      <c r="F47" s="13"/>
    </row>
    <row r="48" spans="1:6" ht="12.5" x14ac:dyDescent="0.25">
      <c r="A48" s="10"/>
      <c r="B48" s="11" t="s">
        <v>31</v>
      </c>
      <c r="C48" s="14">
        <v>11.7</v>
      </c>
      <c r="D48" s="14">
        <v>3</v>
      </c>
      <c r="E48" s="14">
        <v>8.1</v>
      </c>
      <c r="F48" s="13"/>
    </row>
    <row r="49" spans="1:6" ht="12.5" x14ac:dyDescent="0.25">
      <c r="A49" s="10"/>
      <c r="B49" s="11" t="s">
        <v>32</v>
      </c>
      <c r="C49" s="14">
        <v>13.3</v>
      </c>
      <c r="D49" s="14">
        <v>3.1</v>
      </c>
      <c r="E49" s="14">
        <v>9.1</v>
      </c>
      <c r="F49" s="13"/>
    </row>
    <row r="50" spans="1:6" ht="12.5" x14ac:dyDescent="0.25">
      <c r="A50" s="10"/>
      <c r="B50" s="11" t="s">
        <v>33</v>
      </c>
      <c r="C50" s="14">
        <v>13.4</v>
      </c>
      <c r="D50" s="14">
        <v>3.5</v>
      </c>
      <c r="E50" s="14">
        <v>9.4</v>
      </c>
      <c r="F50" s="13"/>
    </row>
    <row r="51" spans="1:6" ht="12.5" x14ac:dyDescent="0.25">
      <c r="A51" s="10"/>
      <c r="B51" s="11" t="s">
        <v>34</v>
      </c>
      <c r="C51" s="14">
        <v>13.1</v>
      </c>
      <c r="D51" s="14">
        <v>3.9</v>
      </c>
      <c r="E51" s="14">
        <v>9.3000000000000007</v>
      </c>
      <c r="F51" s="13"/>
    </row>
    <row r="52" spans="1:6" ht="12.5" x14ac:dyDescent="0.25">
      <c r="A52" s="10"/>
      <c r="B52" s="11" t="s">
        <v>35</v>
      </c>
      <c r="C52" s="14">
        <v>13.6</v>
      </c>
      <c r="D52" s="14">
        <v>3.3</v>
      </c>
      <c r="E52" s="14">
        <v>9.3000000000000007</v>
      </c>
      <c r="F52" s="13"/>
    </row>
    <row r="53" spans="1:6" ht="12.5" x14ac:dyDescent="0.25">
      <c r="A53" s="10"/>
      <c r="B53" s="11" t="s">
        <v>36</v>
      </c>
      <c r="C53" s="14">
        <v>15.6</v>
      </c>
      <c r="D53" s="14">
        <v>3.5</v>
      </c>
      <c r="E53" s="14">
        <v>10.5</v>
      </c>
      <c r="F53" s="13"/>
    </row>
    <row r="54" spans="1:6" ht="12.5" x14ac:dyDescent="0.25">
      <c r="A54" s="10"/>
      <c r="B54" s="15" t="s">
        <v>37</v>
      </c>
      <c r="C54" s="14">
        <v>15.1</v>
      </c>
      <c r="D54" s="14">
        <v>4.3</v>
      </c>
      <c r="E54" s="14">
        <v>10.6</v>
      </c>
      <c r="F54" s="13"/>
    </row>
    <row r="55" spans="1:6" ht="12.5" x14ac:dyDescent="0.25">
      <c r="A55" s="10"/>
      <c r="B55" s="15" t="s">
        <v>38</v>
      </c>
      <c r="C55" s="14">
        <v>14.9</v>
      </c>
      <c r="D55" s="14">
        <v>4.5999999999999996</v>
      </c>
      <c r="E55" s="14">
        <v>10.6</v>
      </c>
      <c r="F55" s="13"/>
    </row>
    <row r="56" spans="1:6" ht="12.5" x14ac:dyDescent="0.25">
      <c r="A56" s="10"/>
      <c r="B56" s="15" t="s">
        <v>39</v>
      </c>
      <c r="C56" s="14">
        <v>14</v>
      </c>
      <c r="D56" s="14">
        <v>3.2</v>
      </c>
      <c r="E56" s="14">
        <v>9.3000000000000007</v>
      </c>
      <c r="F56" s="13"/>
    </row>
    <row r="57" spans="1:6" ht="12.5" x14ac:dyDescent="0.25">
      <c r="A57" s="10"/>
      <c r="B57" s="16" t="s">
        <v>40</v>
      </c>
      <c r="C57" s="14">
        <v>15.7</v>
      </c>
      <c r="D57" s="14">
        <v>4.0999999999999996</v>
      </c>
      <c r="E57" s="14">
        <v>10.7</v>
      </c>
      <c r="F57" s="13"/>
    </row>
    <row r="58" spans="1:6" ht="12.5" x14ac:dyDescent="0.25">
      <c r="A58" s="10"/>
      <c r="B58" s="17" t="s">
        <v>41</v>
      </c>
      <c r="C58" s="18">
        <v>13.3</v>
      </c>
      <c r="D58" s="18">
        <v>4</v>
      </c>
      <c r="E58" s="18">
        <v>9</v>
      </c>
      <c r="F58" s="13"/>
    </row>
    <row r="59" spans="1:6" ht="12.5" x14ac:dyDescent="0.25">
      <c r="A59" s="10"/>
      <c r="B59" s="16" t="s">
        <v>42</v>
      </c>
      <c r="C59" s="19">
        <v>14.3</v>
      </c>
      <c r="D59" s="19">
        <v>4.3</v>
      </c>
      <c r="E59" s="19">
        <v>9.6</v>
      </c>
      <c r="F59" s="13"/>
    </row>
    <row r="60" spans="1:6" ht="12.5" x14ac:dyDescent="0.25">
      <c r="A60" s="10"/>
      <c r="B60" s="16" t="s">
        <v>43</v>
      </c>
      <c r="C60" s="19">
        <v>12.8</v>
      </c>
      <c r="D60" s="19">
        <v>3.7</v>
      </c>
      <c r="E60" s="19">
        <v>8.6</v>
      </c>
      <c r="F60" s="13"/>
    </row>
    <row r="61" spans="1:6" ht="12.5" x14ac:dyDescent="0.25">
      <c r="A61" s="10"/>
      <c r="B61" s="16" t="s">
        <v>44</v>
      </c>
      <c r="C61" s="19">
        <v>14.6</v>
      </c>
      <c r="D61" s="19">
        <v>4.5</v>
      </c>
      <c r="E61" s="19">
        <v>10</v>
      </c>
      <c r="F61" s="13"/>
    </row>
    <row r="62" spans="1:6" ht="12.5" x14ac:dyDescent="0.25">
      <c r="A62" s="10"/>
      <c r="B62" s="16" t="s">
        <v>45</v>
      </c>
      <c r="C62" s="14">
        <v>14.1</v>
      </c>
      <c r="D62" s="14">
        <v>3.5</v>
      </c>
      <c r="E62" s="14">
        <v>9.1999999999999993</v>
      </c>
      <c r="F62" s="13"/>
    </row>
    <row r="63" spans="1:6" ht="12.5" x14ac:dyDescent="0.25">
      <c r="A63" s="10"/>
      <c r="B63" s="16" t="s">
        <v>46</v>
      </c>
      <c r="C63" s="14">
        <v>15.1</v>
      </c>
      <c r="D63" s="14">
        <v>4.3</v>
      </c>
      <c r="E63" s="14">
        <v>10.1</v>
      </c>
      <c r="F63" s="13"/>
    </row>
    <row r="64" spans="1:6" ht="12.5" x14ac:dyDescent="0.25">
      <c r="A64" s="10"/>
      <c r="B64" s="17" t="s">
        <v>47</v>
      </c>
      <c r="C64" s="18">
        <v>13.359197606753161</v>
      </c>
      <c r="D64" s="18">
        <v>3.2905211550378706</v>
      </c>
      <c r="E64" s="18">
        <v>8.6951429197052601</v>
      </c>
      <c r="F64" s="13"/>
    </row>
    <row r="65" spans="1:6" ht="12.5" x14ac:dyDescent="0.25">
      <c r="A65" s="10"/>
      <c r="B65" s="16" t="s">
        <v>48</v>
      </c>
      <c r="C65" s="19">
        <v>14.345583274410631</v>
      </c>
      <c r="D65" s="19">
        <v>4.706724503853744</v>
      </c>
      <c r="E65" s="19">
        <v>9.9087606612930337</v>
      </c>
      <c r="F65" s="13"/>
    </row>
    <row r="66" spans="1:6" ht="12.5" x14ac:dyDescent="0.25">
      <c r="A66" s="10"/>
      <c r="B66" s="16" t="s">
        <v>49</v>
      </c>
      <c r="C66" s="19">
        <v>14.792285282713777</v>
      </c>
      <c r="D66" s="19">
        <v>3.991353450529207</v>
      </c>
      <c r="E66" s="19">
        <v>9.7254058701545549</v>
      </c>
      <c r="F66" s="13"/>
    </row>
    <row r="67" spans="1:6" ht="12.5" x14ac:dyDescent="0.25">
      <c r="A67" s="10"/>
      <c r="B67" s="16" t="s">
        <v>50</v>
      </c>
      <c r="C67" s="19">
        <v>14.501816179115691</v>
      </c>
      <c r="D67" s="19">
        <v>4.1003837131971421</v>
      </c>
      <c r="E67" s="19">
        <v>9.5985693613871952</v>
      </c>
      <c r="F67" s="13"/>
    </row>
    <row r="68" spans="1:6" ht="12.5" x14ac:dyDescent="0.25">
      <c r="A68" s="10"/>
      <c r="B68" s="16" t="s">
        <v>51</v>
      </c>
      <c r="C68" s="19">
        <v>14.23959296586329</v>
      </c>
      <c r="D68" s="19">
        <v>3.6095013862291707</v>
      </c>
      <c r="E68" s="19">
        <v>9.2828926023583858</v>
      </c>
      <c r="F68" s="13"/>
    </row>
    <row r="69" spans="1:6" ht="12.5" x14ac:dyDescent="0.25">
      <c r="A69" s="10"/>
      <c r="B69" s="16" t="s">
        <v>52</v>
      </c>
      <c r="C69" s="20">
        <v>14.631430698296809</v>
      </c>
      <c r="D69" s="20">
        <v>5.0884879307595501</v>
      </c>
      <c r="E69" s="20">
        <v>10.208679211642799</v>
      </c>
      <c r="F69" s="13"/>
    </row>
    <row r="70" spans="1:6" ht="12.5" x14ac:dyDescent="0.25">
      <c r="A70" s="10"/>
      <c r="B70" s="16" t="s">
        <v>53</v>
      </c>
      <c r="C70" s="20">
        <v>14.419753094356579</v>
      </c>
      <c r="D70" s="20">
        <v>3.9703993085440832</v>
      </c>
      <c r="E70" s="20">
        <v>9.5079944555557816</v>
      </c>
      <c r="F70" s="13"/>
    </row>
    <row r="71" spans="1:6" ht="12.5" x14ac:dyDescent="0.25">
      <c r="A71" s="10"/>
      <c r="B71" s="16" t="s">
        <v>54</v>
      </c>
      <c r="C71" s="20">
        <v>14.021162784813757</v>
      </c>
      <c r="D71" s="20">
        <v>3.7006610610874278</v>
      </c>
      <c r="E71" s="20">
        <v>9.1</v>
      </c>
      <c r="F71" s="13"/>
    </row>
    <row r="72" spans="1:6" ht="12.5" x14ac:dyDescent="0.25">
      <c r="A72" s="10"/>
      <c r="B72" s="16" t="s">
        <v>55</v>
      </c>
      <c r="C72" s="20">
        <v>13.762495196278937</v>
      </c>
      <c r="D72" s="20">
        <v>3.1687612046845248</v>
      </c>
      <c r="E72" s="20">
        <v>8.8117218254663854</v>
      </c>
      <c r="F72" s="13"/>
    </row>
    <row r="73" spans="1:6" ht="12.5" x14ac:dyDescent="0.25">
      <c r="A73" s="10"/>
      <c r="B73" s="16" t="s">
        <v>56</v>
      </c>
      <c r="C73" s="20">
        <v>13.702410680109676</v>
      </c>
      <c r="D73" s="20">
        <v>4.417658550717241</v>
      </c>
      <c r="E73" s="20">
        <v>9.3898038075536832</v>
      </c>
      <c r="F73" s="13"/>
    </row>
    <row r="74" spans="1:6" ht="12.5" x14ac:dyDescent="0.25">
      <c r="A74" s="10"/>
      <c r="B74" s="16" t="s">
        <v>57</v>
      </c>
      <c r="C74" s="20">
        <v>13.159984638730533</v>
      </c>
      <c r="D74" s="20">
        <v>3.6307967704040722</v>
      </c>
      <c r="E74" s="20">
        <v>8.7283523162881735</v>
      </c>
      <c r="F74" s="13"/>
    </row>
    <row r="75" spans="1:6" ht="12.5" x14ac:dyDescent="0.25">
      <c r="A75" s="10"/>
      <c r="B75" s="16" t="s">
        <v>58</v>
      </c>
      <c r="C75" s="20">
        <v>14.028172592965575</v>
      </c>
      <c r="D75" s="20">
        <v>4.1939272119106317</v>
      </c>
      <c r="E75" s="20">
        <v>9.4308888223192486</v>
      </c>
      <c r="F75" s="13"/>
    </row>
    <row r="76" spans="1:6" ht="12.5" x14ac:dyDescent="0.25">
      <c r="A76" s="10"/>
      <c r="B76" s="16" t="s">
        <v>59</v>
      </c>
      <c r="C76" s="21">
        <v>12.317658473133575</v>
      </c>
      <c r="D76" s="21">
        <v>3.4563773476788109</v>
      </c>
      <c r="E76" s="21">
        <v>8.1412626775726658</v>
      </c>
      <c r="F76" s="13"/>
    </row>
    <row r="77" spans="1:6" ht="12.5" x14ac:dyDescent="0.25">
      <c r="A77" s="10"/>
      <c r="B77" s="16" t="s">
        <v>60</v>
      </c>
      <c r="C77" s="21">
        <v>14.365762356883092</v>
      </c>
      <c r="D77" s="21">
        <v>4.7953898135355564</v>
      </c>
      <c r="E77" s="21">
        <v>9.8832292171011797</v>
      </c>
      <c r="F77" s="13"/>
    </row>
    <row r="78" spans="1:6" ht="12.5" x14ac:dyDescent="0.25">
      <c r="A78" s="10"/>
      <c r="B78" s="16" t="s">
        <v>61</v>
      </c>
      <c r="C78" s="21">
        <v>13.035197107190687</v>
      </c>
      <c r="D78" s="21">
        <v>3.4349162176931078</v>
      </c>
      <c r="E78" s="21">
        <v>8.4997752949672787</v>
      </c>
      <c r="F78" s="13"/>
    </row>
    <row r="79" spans="1:6" ht="12.5" x14ac:dyDescent="0.25">
      <c r="A79" s="10"/>
      <c r="B79" s="16" t="s">
        <v>62</v>
      </c>
      <c r="C79" s="21">
        <v>13.522448746936217</v>
      </c>
      <c r="D79" s="21">
        <v>4.1185407175375062</v>
      </c>
      <c r="E79" s="21">
        <v>9.0929814472749264</v>
      </c>
      <c r="F79" s="13"/>
    </row>
    <row r="80" spans="1:6" ht="12.5" x14ac:dyDescent="0.25">
      <c r="A80" s="10"/>
      <c r="B80" s="16" t="s">
        <v>63</v>
      </c>
      <c r="C80" s="21">
        <v>13.476589887949441</v>
      </c>
      <c r="D80" s="21">
        <v>3.5846207683135467</v>
      </c>
      <c r="E80" s="21">
        <v>8.7433033547461179</v>
      </c>
      <c r="F80" s="13"/>
    </row>
    <row r="81" spans="1:6" ht="12.5" x14ac:dyDescent="0.25">
      <c r="A81" s="10"/>
      <c r="B81" s="16" t="s">
        <v>64</v>
      </c>
      <c r="C81" s="21">
        <v>13.273069367028105</v>
      </c>
      <c r="D81" s="21">
        <v>4.2573324432157564</v>
      </c>
      <c r="E81" s="21">
        <v>9.0574317643161244</v>
      </c>
      <c r="F81" s="13"/>
    </row>
    <row r="82" spans="1:6" ht="12.5" x14ac:dyDescent="0.25">
      <c r="A82" s="10"/>
      <c r="B82" s="16" t="s">
        <v>65</v>
      </c>
      <c r="C82" s="21">
        <v>13.747341122678277</v>
      </c>
      <c r="D82" s="21">
        <v>4.179847926885798</v>
      </c>
      <c r="E82" s="21">
        <v>9.2276468181214675</v>
      </c>
      <c r="F82" s="13"/>
    </row>
    <row r="83" spans="1:6" ht="12.5" x14ac:dyDescent="0.25">
      <c r="A83" s="10"/>
      <c r="B83" s="16" t="s">
        <v>66</v>
      </c>
      <c r="C83" s="21">
        <v>13.805465404583128</v>
      </c>
      <c r="D83" s="21">
        <v>3.7904397581189921</v>
      </c>
      <c r="E83" s="21">
        <v>9.0185475637887116</v>
      </c>
      <c r="F83" s="13"/>
    </row>
    <row r="84" spans="1:6" ht="12.5" x14ac:dyDescent="0.25">
      <c r="A84" s="10"/>
      <c r="B84" s="16" t="s">
        <v>67</v>
      </c>
      <c r="C84" s="21">
        <v>12.658333893220062</v>
      </c>
      <c r="D84" s="21">
        <v>3.3211151223353959</v>
      </c>
      <c r="E84" s="21">
        <v>8.1617483274665297</v>
      </c>
      <c r="F84" s="13"/>
    </row>
    <row r="85" spans="1:6" ht="12.5" x14ac:dyDescent="0.25">
      <c r="A85" s="10"/>
      <c r="B85" s="16" t="s">
        <v>68</v>
      </c>
      <c r="C85" s="21">
        <v>14.701562507751355</v>
      </c>
      <c r="D85" s="21">
        <v>4.6384232144462079</v>
      </c>
      <c r="E85" s="21">
        <v>9.9562420124741937</v>
      </c>
      <c r="F85" s="13"/>
    </row>
    <row r="86" spans="1:6" ht="12.5" x14ac:dyDescent="0.25">
      <c r="A86" s="10"/>
      <c r="B86" s="16" t="s">
        <v>69</v>
      </c>
      <c r="C86" s="21">
        <v>13.808805029323942</v>
      </c>
      <c r="D86" s="21">
        <v>3.7197497394921286</v>
      </c>
      <c r="E86" s="21">
        <v>9.0364006387643308</v>
      </c>
      <c r="F86" s="13"/>
    </row>
    <row r="87" spans="1:6" ht="12.5" x14ac:dyDescent="0.25">
      <c r="A87" s="10"/>
      <c r="B87" s="16" t="s">
        <v>70</v>
      </c>
      <c r="C87" s="21">
        <v>14.765642637876597</v>
      </c>
      <c r="D87" s="21">
        <v>4.2552716848756598</v>
      </c>
      <c r="E87" s="21">
        <v>9.7687764205331344</v>
      </c>
      <c r="F87" s="13"/>
    </row>
    <row r="88" spans="1:6" ht="12.5" x14ac:dyDescent="0.25">
      <c r="A88" s="10"/>
      <c r="B88" s="16" t="s">
        <v>71</v>
      </c>
      <c r="C88" s="21">
        <v>12.567963280139022</v>
      </c>
      <c r="D88" s="21">
        <v>3.02997937423679</v>
      </c>
      <c r="E88" s="21">
        <v>7.9586685576431231</v>
      </c>
      <c r="F88" s="13"/>
    </row>
    <row r="89" spans="1:6" ht="12.5" x14ac:dyDescent="0.25">
      <c r="A89" s="10"/>
      <c r="B89" s="16" t="s">
        <v>72</v>
      </c>
      <c r="C89" s="21">
        <v>14.120028142786726</v>
      </c>
      <c r="D89" s="21">
        <v>4.6725137010302831</v>
      </c>
      <c r="E89" s="21">
        <v>9.622922612015989</v>
      </c>
      <c r="F89" s="13"/>
    </row>
    <row r="90" spans="1:6" ht="12.5" x14ac:dyDescent="0.25">
      <c r="A90" s="10"/>
      <c r="B90" s="16" t="s">
        <v>73</v>
      </c>
      <c r="C90" s="21">
        <v>14.638557707125543</v>
      </c>
      <c r="D90" s="21">
        <v>3.8201556834269619</v>
      </c>
      <c r="E90" s="21">
        <v>9.473388319158337</v>
      </c>
      <c r="F90" s="13"/>
    </row>
    <row r="91" spans="1:6" ht="12.5" x14ac:dyDescent="0.25">
      <c r="A91" s="10"/>
      <c r="B91" s="16" t="s">
        <v>74</v>
      </c>
      <c r="C91" s="21">
        <v>15.530157508927029</v>
      </c>
      <c r="D91" s="21">
        <v>3.9070791517362804</v>
      </c>
      <c r="E91" s="21">
        <v>9.9401397835891032</v>
      </c>
      <c r="F91" s="13"/>
    </row>
    <row r="92" spans="1:6" ht="12.5" x14ac:dyDescent="0.25">
      <c r="A92" s="10"/>
      <c r="B92" s="16" t="s">
        <v>75</v>
      </c>
      <c r="C92" s="21">
        <v>13.981297884532637</v>
      </c>
      <c r="D92" s="21">
        <v>3.8574951905030028</v>
      </c>
      <c r="E92" s="21">
        <v>9.1107056754912108</v>
      </c>
      <c r="F92" s="13"/>
    </row>
    <row r="93" spans="1:6" ht="12.5" x14ac:dyDescent="0.25">
      <c r="A93" s="10"/>
      <c r="B93" s="16" t="s">
        <v>76</v>
      </c>
      <c r="C93" s="21">
        <v>14.648261687783679</v>
      </c>
      <c r="D93" s="21">
        <v>4.0177744140815204</v>
      </c>
      <c r="E93" s="21">
        <v>9.5652121465956697</v>
      </c>
      <c r="F93" s="13"/>
    </row>
    <row r="94" spans="1:6" ht="12.5" x14ac:dyDescent="0.25">
      <c r="A94" s="10"/>
      <c r="B94" s="16" t="s">
        <v>77</v>
      </c>
      <c r="C94" s="21">
        <v>14.83957553025982</v>
      </c>
      <c r="D94" s="21">
        <v>4.0849631064860263</v>
      </c>
      <c r="E94" s="21">
        <v>9.7039837659571475</v>
      </c>
      <c r="F94" s="13"/>
    </row>
    <row r="95" spans="1:6" ht="12.5" x14ac:dyDescent="0.25">
      <c r="A95" s="10"/>
      <c r="B95" s="16" t="s">
        <v>78</v>
      </c>
      <c r="C95" s="21">
        <v>15.91001685305787</v>
      </c>
      <c r="D95" s="21">
        <v>3.5390839519819894</v>
      </c>
      <c r="E95" s="21">
        <v>9.8720825753968402</v>
      </c>
      <c r="F95" s="13"/>
    </row>
    <row r="96" spans="1:6" ht="12.5" x14ac:dyDescent="0.25">
      <c r="A96" s="10"/>
      <c r="B96" s="16" t="s">
        <v>79</v>
      </c>
      <c r="C96" s="21">
        <v>15.000829058205408</v>
      </c>
      <c r="D96" s="21">
        <v>3.4433380339271209</v>
      </c>
      <c r="E96" s="21">
        <v>9.3459478193193775</v>
      </c>
      <c r="F96" s="13"/>
    </row>
    <row r="97" spans="1:6" ht="12.5" x14ac:dyDescent="0.25">
      <c r="A97" s="10"/>
      <c r="B97" s="16" t="s">
        <v>80</v>
      </c>
      <c r="C97" s="21">
        <v>15.845301919003129</v>
      </c>
      <c r="D97" s="21">
        <v>3.9152446546052633</v>
      </c>
      <c r="E97" s="21">
        <v>10.07086116475163</v>
      </c>
      <c r="F97" s="13"/>
    </row>
    <row r="98" spans="1:6" ht="12.5" x14ac:dyDescent="0.25">
      <c r="A98" s="10"/>
      <c r="B98" s="16" t="s">
        <v>81</v>
      </c>
      <c r="C98" s="21">
        <v>17.173959512078934</v>
      </c>
      <c r="D98" s="21">
        <v>4.3604052329215142</v>
      </c>
      <c r="E98" s="21">
        <v>10.9443847904567</v>
      </c>
      <c r="F98" s="13"/>
    </row>
    <row r="99" spans="1:6" ht="12.5" x14ac:dyDescent="0.25">
      <c r="A99" s="10"/>
      <c r="B99" s="16" t="s">
        <v>82</v>
      </c>
      <c r="C99" s="21">
        <v>16.043810680105803</v>
      </c>
      <c r="D99" s="21">
        <v>3.9273182296861537</v>
      </c>
      <c r="E99" s="21">
        <v>10.128643103707759</v>
      </c>
      <c r="F99" s="13"/>
    </row>
    <row r="100" spans="1:6" ht="12.5" x14ac:dyDescent="0.25">
      <c r="A100" s="10"/>
      <c r="B100" s="16" t="s">
        <v>83</v>
      </c>
      <c r="C100" s="21">
        <v>13.245954348358152</v>
      </c>
      <c r="D100" s="21">
        <v>2.4210610122761675</v>
      </c>
      <c r="E100" s="21">
        <v>7.7715241093876024</v>
      </c>
      <c r="F100" s="13"/>
    </row>
    <row r="101" spans="1:6" ht="12.5" x14ac:dyDescent="0.25">
      <c r="A101" s="10"/>
      <c r="B101" s="16" t="s">
        <v>84</v>
      </c>
      <c r="C101" s="21">
        <v>15.281147072165355</v>
      </c>
      <c r="D101" s="21">
        <v>3.7484614629683661</v>
      </c>
      <c r="E101" s="21">
        <v>9.641874704690645</v>
      </c>
      <c r="F101" s="13"/>
    </row>
    <row r="102" spans="1:6" ht="12.5" x14ac:dyDescent="0.25">
      <c r="A102" s="22"/>
      <c r="B102" s="24" t="s">
        <v>85</v>
      </c>
      <c r="C102" s="25"/>
      <c r="D102" s="25"/>
      <c r="E102" s="26"/>
      <c r="F102" s="23"/>
    </row>
  </sheetData>
  <mergeCells count="1">
    <mergeCell ref="B102:E10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"/>
  <sheetViews>
    <sheetView workbookViewId="0"/>
  </sheetViews>
  <sheetFormatPr baseColWidth="10" defaultColWidth="12.6328125" defaultRowHeight="15.75" customHeight="1" x14ac:dyDescent="0.25"/>
  <sheetData>
    <row r="1" spans="1:9" x14ac:dyDescent="0.35">
      <c r="A1" s="1" t="s">
        <v>0</v>
      </c>
      <c r="B1" s="2" t="s">
        <v>1</v>
      </c>
      <c r="C1" s="2" t="s">
        <v>2</v>
      </c>
      <c r="D1" s="2" t="s">
        <v>3</v>
      </c>
      <c r="E1" s="3"/>
      <c r="F1" s="1" t="s">
        <v>4</v>
      </c>
      <c r="G1" s="2" t="s">
        <v>1</v>
      </c>
      <c r="H1" s="2" t="s">
        <v>2</v>
      </c>
      <c r="I1" s="2" t="s">
        <v>3</v>
      </c>
    </row>
    <row r="2" spans="1:9" x14ac:dyDescent="0.35">
      <c r="A2" s="4" t="str">
        <f ca="1">IFERROR(__xludf.DUMMYFUNCTION("to_text(INDIRECT(""Trimestriel!B22""))"),"2025T4")</f>
        <v>2025T4</v>
      </c>
      <c r="B2" s="5" t="str">
        <f ca="1">IFERROR(__xludf.DUMMYFUNCTION("to_text(INDIRECT(""Trimestriel!C22""))"),"16,5")</f>
        <v>16,5</v>
      </c>
      <c r="C2" s="5" t="str">
        <f ca="1">IFERROR(__xludf.DUMMYFUNCTION("to_text(INDIRECT(""Trimestriel!D22""))"),"6,2")</f>
        <v>6,2</v>
      </c>
      <c r="D2" s="5" t="str">
        <f ca="1">IFERROR(__xludf.DUMMYFUNCTION("to_text(INDIRECT(""Trimestriel!E22""))"),"12,9")</f>
        <v>12,9</v>
      </c>
      <c r="E2" s="3"/>
      <c r="F2" s="4" t="str">
        <f ca="1">IFERROR(__xludf.DUMMYFUNCTION("to_text(INDIRECT(""Annuel!B22""))"),"2025")</f>
        <v>2025</v>
      </c>
      <c r="G2" s="5" t="str">
        <f ca="1">IFERROR(__xludf.DUMMYFUNCTION("to_text(INDIRECT(""Annuel!C22""))"),"16,4")</f>
        <v>16,4</v>
      </c>
      <c r="H2" s="5" t="str">
        <f ca="1">IFERROR(__xludf.DUMMYFUNCTION("to_text(INDIRECT(""Annuel!D22""))"),"6,6")</f>
        <v>6,6</v>
      </c>
      <c r="I2" s="5" t="str">
        <f ca="1">IFERROR(__xludf.DUMMYFUNCTION("to_text(INDIRECT(""Annuel!E22""))"),"13,0")</f>
        <v>13,0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Trimestriel</vt:lpstr>
      <vt:lpstr>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2026-09-27T11:15:44Z</dcterms:modified>
</cp:coreProperties>
</file>